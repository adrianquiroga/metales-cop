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YECTOS\PRESUPUESTO\metales\"/>
    </mc:Choice>
  </mc:AlternateContent>
  <xr:revisionPtr revIDLastSave="0" documentId="13_ncr:1_{52AA9FDC-CA0A-47AB-838D-18E396A1E0AE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Dashboard y Gráficos" sheetId="1" r:id="rId1"/>
    <sheet name="Precios Diarios" sheetId="2" r:id="rId2"/>
  </sheets>
  <definedNames>
    <definedName name="_xlnm._FilterDatabase" localSheetId="1" hidden="1">'Precios Diarios'!$A$1:$H$463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3" i="2" l="1"/>
  <c r="E463" i="2"/>
  <c r="F462" i="2"/>
  <c r="H462" i="2" s="1"/>
  <c r="E462" i="2"/>
  <c r="G462" i="2" s="1"/>
  <c r="F461" i="2"/>
  <c r="H461" i="2" s="1"/>
  <c r="E461" i="2"/>
  <c r="G461" i="2" s="1"/>
  <c r="F460" i="2"/>
  <c r="H460" i="2" s="1"/>
  <c r="E460" i="2"/>
  <c r="G460" i="2" s="1"/>
  <c r="F459" i="2"/>
  <c r="H459" i="2" s="1"/>
  <c r="E459" i="2"/>
  <c r="G459" i="2" s="1"/>
  <c r="F458" i="2"/>
  <c r="H458" i="2" s="1"/>
  <c r="E458" i="2"/>
  <c r="G458" i="2" s="1"/>
  <c r="F457" i="2"/>
  <c r="H457" i="2" s="1"/>
  <c r="E457" i="2"/>
  <c r="G457" i="2" s="1"/>
  <c r="F456" i="2"/>
  <c r="H456" i="2" s="1"/>
  <c r="E456" i="2"/>
  <c r="G456" i="2" s="1"/>
  <c r="F455" i="2"/>
  <c r="H455" i="2" s="1"/>
  <c r="E455" i="2"/>
  <c r="G455" i="2" s="1"/>
  <c r="F454" i="2"/>
  <c r="H454" i="2" s="1"/>
  <c r="E454" i="2"/>
  <c r="G454" i="2" s="1"/>
  <c r="F453" i="2"/>
  <c r="H453" i="2" s="1"/>
  <c r="E453" i="2"/>
  <c r="G453" i="2" s="1"/>
  <c r="F452" i="2"/>
  <c r="H452" i="2" s="1"/>
  <c r="E452" i="2"/>
  <c r="G452" i="2" s="1"/>
  <c r="F451" i="2"/>
  <c r="H451" i="2" s="1"/>
  <c r="E451" i="2"/>
  <c r="G451" i="2" s="1"/>
  <c r="F450" i="2"/>
  <c r="H450" i="2" s="1"/>
  <c r="E450" i="2"/>
  <c r="G450" i="2" s="1"/>
  <c r="F449" i="2"/>
  <c r="H449" i="2" s="1"/>
  <c r="E449" i="2"/>
  <c r="G449" i="2" s="1"/>
  <c r="F448" i="2"/>
  <c r="H448" i="2" s="1"/>
  <c r="E448" i="2"/>
  <c r="G448" i="2" s="1"/>
  <c r="F447" i="2"/>
  <c r="H447" i="2" s="1"/>
  <c r="E447" i="2"/>
  <c r="G447" i="2" s="1"/>
  <c r="F446" i="2"/>
  <c r="H446" i="2" s="1"/>
  <c r="E446" i="2"/>
  <c r="G446" i="2" s="1"/>
  <c r="F445" i="2"/>
  <c r="H445" i="2" s="1"/>
  <c r="E445" i="2"/>
  <c r="G445" i="2" s="1"/>
  <c r="F444" i="2"/>
  <c r="H444" i="2" s="1"/>
  <c r="E444" i="2"/>
  <c r="G444" i="2" s="1"/>
  <c r="F443" i="2"/>
  <c r="H443" i="2" s="1"/>
  <c r="E443" i="2"/>
  <c r="G443" i="2" s="1"/>
  <c r="F442" i="2"/>
  <c r="H442" i="2" s="1"/>
  <c r="E442" i="2"/>
  <c r="G442" i="2" s="1"/>
  <c r="F441" i="2"/>
  <c r="H441" i="2" s="1"/>
  <c r="E441" i="2"/>
  <c r="G441" i="2" s="1"/>
  <c r="F440" i="2"/>
  <c r="H440" i="2" s="1"/>
  <c r="E440" i="2"/>
  <c r="G440" i="2" s="1"/>
  <c r="F439" i="2"/>
  <c r="H439" i="2" s="1"/>
  <c r="E439" i="2"/>
  <c r="G439" i="2" s="1"/>
  <c r="F438" i="2"/>
  <c r="H438" i="2" s="1"/>
  <c r="E438" i="2"/>
  <c r="G438" i="2" s="1"/>
  <c r="F437" i="2"/>
  <c r="H437" i="2" s="1"/>
  <c r="E437" i="2"/>
  <c r="G437" i="2" s="1"/>
  <c r="F436" i="2"/>
  <c r="H436" i="2" s="1"/>
  <c r="E436" i="2"/>
  <c r="G436" i="2" s="1"/>
  <c r="F435" i="2"/>
  <c r="H435" i="2" s="1"/>
  <c r="E435" i="2"/>
  <c r="G435" i="2" s="1"/>
  <c r="F434" i="2"/>
  <c r="H434" i="2" s="1"/>
  <c r="E434" i="2"/>
  <c r="G434" i="2" s="1"/>
  <c r="F433" i="2"/>
  <c r="H433" i="2" s="1"/>
  <c r="E433" i="2"/>
  <c r="G433" i="2" s="1"/>
  <c r="F432" i="2"/>
  <c r="H432" i="2" s="1"/>
  <c r="E432" i="2"/>
  <c r="G432" i="2" s="1"/>
  <c r="F431" i="2"/>
  <c r="H431" i="2" s="1"/>
  <c r="E431" i="2"/>
  <c r="G431" i="2" s="1"/>
  <c r="F430" i="2"/>
  <c r="H430" i="2" s="1"/>
  <c r="E430" i="2"/>
  <c r="G430" i="2" s="1"/>
  <c r="F429" i="2"/>
  <c r="H429" i="2" s="1"/>
  <c r="E429" i="2"/>
  <c r="G429" i="2" s="1"/>
  <c r="F428" i="2"/>
  <c r="H428" i="2" s="1"/>
  <c r="E428" i="2"/>
  <c r="G428" i="2" s="1"/>
  <c r="F427" i="2"/>
  <c r="H427" i="2" s="1"/>
  <c r="E427" i="2"/>
  <c r="G427" i="2" s="1"/>
  <c r="F426" i="2"/>
  <c r="H426" i="2" s="1"/>
  <c r="E426" i="2"/>
  <c r="G426" i="2" s="1"/>
  <c r="F425" i="2"/>
  <c r="H425" i="2" s="1"/>
  <c r="E425" i="2"/>
  <c r="G425" i="2" s="1"/>
  <c r="F424" i="2"/>
  <c r="H424" i="2" s="1"/>
  <c r="E424" i="2"/>
  <c r="G424" i="2" s="1"/>
  <c r="F423" i="2"/>
  <c r="H423" i="2" s="1"/>
  <c r="E423" i="2"/>
  <c r="G423" i="2" s="1"/>
  <c r="F422" i="2"/>
  <c r="H422" i="2" s="1"/>
  <c r="E422" i="2"/>
  <c r="G422" i="2" s="1"/>
  <c r="F421" i="2"/>
  <c r="H421" i="2" s="1"/>
  <c r="E421" i="2"/>
  <c r="G421" i="2" s="1"/>
  <c r="F420" i="2"/>
  <c r="H420" i="2" s="1"/>
  <c r="E420" i="2"/>
  <c r="G420" i="2" s="1"/>
  <c r="F419" i="2"/>
  <c r="H419" i="2" s="1"/>
  <c r="E419" i="2"/>
  <c r="G419" i="2" s="1"/>
  <c r="F418" i="2"/>
  <c r="H418" i="2" s="1"/>
  <c r="E418" i="2"/>
  <c r="G418" i="2" s="1"/>
  <c r="F417" i="2"/>
  <c r="H417" i="2" s="1"/>
  <c r="E417" i="2"/>
  <c r="G417" i="2" s="1"/>
  <c r="F416" i="2"/>
  <c r="H416" i="2" s="1"/>
  <c r="E416" i="2"/>
  <c r="G416" i="2" s="1"/>
  <c r="F415" i="2"/>
  <c r="H415" i="2" s="1"/>
  <c r="E415" i="2"/>
  <c r="G415" i="2" s="1"/>
  <c r="F414" i="2"/>
  <c r="H414" i="2" s="1"/>
  <c r="E414" i="2"/>
  <c r="G414" i="2" s="1"/>
  <c r="F413" i="2"/>
  <c r="H413" i="2" s="1"/>
  <c r="E413" i="2"/>
  <c r="G413" i="2" s="1"/>
  <c r="F412" i="2"/>
  <c r="H412" i="2" s="1"/>
  <c r="E412" i="2"/>
  <c r="G412" i="2" s="1"/>
  <c r="F411" i="2"/>
  <c r="H411" i="2" s="1"/>
  <c r="E411" i="2"/>
  <c r="G411" i="2" s="1"/>
  <c r="F410" i="2"/>
  <c r="H410" i="2" s="1"/>
  <c r="E410" i="2"/>
  <c r="G410" i="2" s="1"/>
  <c r="F409" i="2"/>
  <c r="H409" i="2" s="1"/>
  <c r="E409" i="2"/>
  <c r="G409" i="2" s="1"/>
  <c r="F408" i="2"/>
  <c r="H408" i="2" s="1"/>
  <c r="E408" i="2"/>
  <c r="G408" i="2" s="1"/>
  <c r="F407" i="2"/>
  <c r="H407" i="2" s="1"/>
  <c r="E407" i="2"/>
  <c r="G407" i="2" s="1"/>
  <c r="F406" i="2"/>
  <c r="H406" i="2" s="1"/>
  <c r="E406" i="2"/>
  <c r="G406" i="2" s="1"/>
  <c r="F405" i="2"/>
  <c r="H405" i="2" s="1"/>
  <c r="E405" i="2"/>
  <c r="G405" i="2" s="1"/>
  <c r="F404" i="2"/>
  <c r="H404" i="2" s="1"/>
  <c r="E404" i="2"/>
  <c r="G404" i="2" s="1"/>
  <c r="F403" i="2"/>
  <c r="H403" i="2" s="1"/>
  <c r="E403" i="2"/>
  <c r="G403" i="2" s="1"/>
  <c r="F402" i="2"/>
  <c r="H402" i="2" s="1"/>
  <c r="E402" i="2"/>
  <c r="G402" i="2" s="1"/>
  <c r="F401" i="2"/>
  <c r="H401" i="2" s="1"/>
  <c r="E401" i="2"/>
  <c r="G401" i="2" s="1"/>
  <c r="F400" i="2"/>
  <c r="H400" i="2" s="1"/>
  <c r="E400" i="2"/>
  <c r="G400" i="2" s="1"/>
  <c r="F399" i="2"/>
  <c r="H399" i="2" s="1"/>
  <c r="E399" i="2"/>
  <c r="G399" i="2" s="1"/>
  <c r="F398" i="2"/>
  <c r="H398" i="2" s="1"/>
  <c r="E398" i="2"/>
  <c r="G398" i="2" s="1"/>
  <c r="F397" i="2"/>
  <c r="H397" i="2" s="1"/>
  <c r="E397" i="2"/>
  <c r="G397" i="2" s="1"/>
  <c r="F396" i="2"/>
  <c r="H396" i="2" s="1"/>
  <c r="E396" i="2"/>
  <c r="G396" i="2" s="1"/>
  <c r="F395" i="2"/>
  <c r="H395" i="2" s="1"/>
  <c r="E395" i="2"/>
  <c r="G395" i="2" s="1"/>
  <c r="F394" i="2"/>
  <c r="H394" i="2" s="1"/>
  <c r="E394" i="2"/>
  <c r="G394" i="2" s="1"/>
  <c r="F393" i="2"/>
  <c r="H393" i="2" s="1"/>
  <c r="E393" i="2"/>
  <c r="G393" i="2" s="1"/>
  <c r="F392" i="2"/>
  <c r="H392" i="2" s="1"/>
  <c r="E392" i="2"/>
  <c r="G392" i="2" s="1"/>
  <c r="F391" i="2"/>
  <c r="H391" i="2" s="1"/>
  <c r="E391" i="2"/>
  <c r="G391" i="2" s="1"/>
  <c r="F390" i="2"/>
  <c r="H390" i="2" s="1"/>
  <c r="E390" i="2"/>
  <c r="G390" i="2" s="1"/>
  <c r="F389" i="2"/>
  <c r="H389" i="2" s="1"/>
  <c r="E389" i="2"/>
  <c r="G389" i="2" s="1"/>
  <c r="G388" i="2"/>
  <c r="F388" i="2"/>
  <c r="H388" i="2" s="1"/>
  <c r="E388" i="2"/>
  <c r="F387" i="2"/>
  <c r="H387" i="2" s="1"/>
  <c r="E387" i="2"/>
  <c r="G387" i="2" s="1"/>
  <c r="F386" i="2"/>
  <c r="H386" i="2" s="1"/>
  <c r="E386" i="2"/>
  <c r="G386" i="2" s="1"/>
  <c r="F385" i="2"/>
  <c r="H385" i="2" s="1"/>
  <c r="E385" i="2"/>
  <c r="G385" i="2" s="1"/>
  <c r="F384" i="2"/>
  <c r="H384" i="2" s="1"/>
  <c r="E384" i="2"/>
  <c r="G384" i="2" s="1"/>
  <c r="F383" i="2"/>
  <c r="H383" i="2" s="1"/>
  <c r="E383" i="2"/>
  <c r="G383" i="2" s="1"/>
  <c r="F382" i="2"/>
  <c r="H382" i="2" s="1"/>
  <c r="E382" i="2"/>
  <c r="G382" i="2" s="1"/>
  <c r="F381" i="2"/>
  <c r="H381" i="2" s="1"/>
  <c r="E381" i="2"/>
  <c r="G381" i="2" s="1"/>
  <c r="F380" i="2"/>
  <c r="H380" i="2" s="1"/>
  <c r="E380" i="2"/>
  <c r="G380" i="2" s="1"/>
  <c r="F379" i="2"/>
  <c r="H379" i="2" s="1"/>
  <c r="E379" i="2"/>
  <c r="G379" i="2" s="1"/>
  <c r="F378" i="2"/>
  <c r="H378" i="2" s="1"/>
  <c r="E378" i="2"/>
  <c r="G378" i="2" s="1"/>
  <c r="F377" i="2"/>
  <c r="H377" i="2" s="1"/>
  <c r="E377" i="2"/>
  <c r="G377" i="2" s="1"/>
  <c r="F376" i="2"/>
  <c r="H376" i="2" s="1"/>
  <c r="E376" i="2"/>
  <c r="G376" i="2" s="1"/>
  <c r="F375" i="2"/>
  <c r="H375" i="2" s="1"/>
  <c r="E375" i="2"/>
  <c r="G375" i="2" s="1"/>
  <c r="F374" i="2"/>
  <c r="H374" i="2" s="1"/>
  <c r="E374" i="2"/>
  <c r="G374" i="2" s="1"/>
  <c r="F373" i="2"/>
  <c r="H373" i="2" s="1"/>
  <c r="E373" i="2"/>
  <c r="G373" i="2" s="1"/>
  <c r="F372" i="2"/>
  <c r="H372" i="2" s="1"/>
  <c r="E372" i="2"/>
  <c r="G372" i="2" s="1"/>
  <c r="F371" i="2"/>
  <c r="H371" i="2" s="1"/>
  <c r="E371" i="2"/>
  <c r="G371" i="2" s="1"/>
  <c r="F370" i="2"/>
  <c r="H370" i="2" s="1"/>
  <c r="E370" i="2"/>
  <c r="G370" i="2" s="1"/>
  <c r="F369" i="2"/>
  <c r="H369" i="2" s="1"/>
  <c r="E369" i="2"/>
  <c r="G369" i="2" s="1"/>
  <c r="F368" i="2"/>
  <c r="H368" i="2" s="1"/>
  <c r="E368" i="2"/>
  <c r="G368" i="2" s="1"/>
  <c r="F367" i="2"/>
  <c r="H367" i="2" s="1"/>
  <c r="E367" i="2"/>
  <c r="G367" i="2" s="1"/>
  <c r="F366" i="2"/>
  <c r="H366" i="2" s="1"/>
  <c r="E366" i="2"/>
  <c r="G366" i="2" s="1"/>
  <c r="F365" i="2"/>
  <c r="H365" i="2" s="1"/>
  <c r="E365" i="2"/>
  <c r="G365" i="2" s="1"/>
  <c r="F364" i="2"/>
  <c r="H364" i="2" s="1"/>
  <c r="E364" i="2"/>
  <c r="G364" i="2" s="1"/>
  <c r="F363" i="2"/>
  <c r="H363" i="2" s="1"/>
  <c r="E363" i="2"/>
  <c r="G363" i="2" s="1"/>
  <c r="F362" i="2"/>
  <c r="H362" i="2" s="1"/>
  <c r="E362" i="2"/>
  <c r="G362" i="2" s="1"/>
  <c r="F361" i="2"/>
  <c r="H361" i="2" s="1"/>
  <c r="E361" i="2"/>
  <c r="G361" i="2" s="1"/>
  <c r="F360" i="2"/>
  <c r="H360" i="2" s="1"/>
  <c r="E360" i="2"/>
  <c r="G360" i="2" s="1"/>
  <c r="F359" i="2"/>
  <c r="H359" i="2" s="1"/>
  <c r="E359" i="2"/>
  <c r="G359" i="2" s="1"/>
  <c r="F358" i="2"/>
  <c r="H358" i="2" s="1"/>
  <c r="E358" i="2"/>
  <c r="G358" i="2" s="1"/>
  <c r="F357" i="2"/>
  <c r="H357" i="2" s="1"/>
  <c r="E357" i="2"/>
  <c r="G357" i="2" s="1"/>
  <c r="F356" i="2"/>
  <c r="H356" i="2" s="1"/>
  <c r="E356" i="2"/>
  <c r="G356" i="2" s="1"/>
  <c r="F355" i="2"/>
  <c r="H355" i="2" s="1"/>
  <c r="E355" i="2"/>
  <c r="G355" i="2" s="1"/>
  <c r="F354" i="2"/>
  <c r="H354" i="2" s="1"/>
  <c r="E354" i="2"/>
  <c r="G354" i="2" s="1"/>
  <c r="F353" i="2"/>
  <c r="H353" i="2" s="1"/>
  <c r="E353" i="2"/>
  <c r="G353" i="2" s="1"/>
  <c r="F352" i="2"/>
  <c r="H352" i="2" s="1"/>
  <c r="E352" i="2"/>
  <c r="G352" i="2" s="1"/>
  <c r="F351" i="2"/>
  <c r="H351" i="2" s="1"/>
  <c r="E351" i="2"/>
  <c r="G351" i="2" s="1"/>
  <c r="F350" i="2"/>
  <c r="H350" i="2" s="1"/>
  <c r="E350" i="2"/>
  <c r="G350" i="2" s="1"/>
  <c r="F349" i="2"/>
  <c r="H349" i="2" s="1"/>
  <c r="E349" i="2"/>
  <c r="G349" i="2" s="1"/>
  <c r="F348" i="2"/>
  <c r="H348" i="2" s="1"/>
  <c r="E348" i="2"/>
  <c r="G348" i="2" s="1"/>
  <c r="F347" i="2"/>
  <c r="H347" i="2" s="1"/>
  <c r="E347" i="2"/>
  <c r="G347" i="2" s="1"/>
  <c r="F346" i="2"/>
  <c r="H346" i="2" s="1"/>
  <c r="E346" i="2"/>
  <c r="G346" i="2" s="1"/>
  <c r="F345" i="2"/>
  <c r="H345" i="2" s="1"/>
  <c r="E345" i="2"/>
  <c r="G345" i="2" s="1"/>
  <c r="F344" i="2"/>
  <c r="H344" i="2" s="1"/>
  <c r="E344" i="2"/>
  <c r="G344" i="2" s="1"/>
  <c r="F343" i="2"/>
  <c r="H343" i="2" s="1"/>
  <c r="E343" i="2"/>
  <c r="G343" i="2" s="1"/>
  <c r="F342" i="2"/>
  <c r="H342" i="2" s="1"/>
  <c r="E342" i="2"/>
  <c r="G342" i="2" s="1"/>
  <c r="F341" i="2"/>
  <c r="H341" i="2" s="1"/>
  <c r="E341" i="2"/>
  <c r="G341" i="2" s="1"/>
  <c r="F340" i="2"/>
  <c r="H340" i="2" s="1"/>
  <c r="E340" i="2"/>
  <c r="G340" i="2" s="1"/>
  <c r="F339" i="2"/>
  <c r="H339" i="2" s="1"/>
  <c r="E339" i="2"/>
  <c r="G339" i="2" s="1"/>
  <c r="F338" i="2"/>
  <c r="H338" i="2" s="1"/>
  <c r="E338" i="2"/>
  <c r="G338" i="2" s="1"/>
  <c r="H337" i="2"/>
  <c r="G337" i="2"/>
  <c r="F337" i="2"/>
  <c r="E337" i="2"/>
  <c r="F336" i="2"/>
  <c r="H336" i="2" s="1"/>
  <c r="E336" i="2"/>
  <c r="G336" i="2" s="1"/>
  <c r="F335" i="2"/>
  <c r="H335" i="2" s="1"/>
  <c r="E335" i="2"/>
  <c r="G335" i="2" s="1"/>
  <c r="F334" i="2"/>
  <c r="H334" i="2" s="1"/>
  <c r="E334" i="2"/>
  <c r="G334" i="2" s="1"/>
  <c r="F333" i="2"/>
  <c r="H333" i="2" s="1"/>
  <c r="E333" i="2"/>
  <c r="G333" i="2" s="1"/>
  <c r="F332" i="2"/>
  <c r="H332" i="2" s="1"/>
  <c r="E332" i="2"/>
  <c r="G332" i="2" s="1"/>
  <c r="F331" i="2"/>
  <c r="H331" i="2" s="1"/>
  <c r="E331" i="2"/>
  <c r="G331" i="2" s="1"/>
  <c r="F330" i="2"/>
  <c r="H330" i="2" s="1"/>
  <c r="E330" i="2"/>
  <c r="G330" i="2" s="1"/>
  <c r="F329" i="2"/>
  <c r="H329" i="2" s="1"/>
  <c r="E329" i="2"/>
  <c r="G329" i="2" s="1"/>
  <c r="F328" i="2"/>
  <c r="H328" i="2" s="1"/>
  <c r="E328" i="2"/>
  <c r="G328" i="2" s="1"/>
  <c r="F327" i="2"/>
  <c r="H327" i="2" s="1"/>
  <c r="E327" i="2"/>
  <c r="G327" i="2" s="1"/>
  <c r="F326" i="2"/>
  <c r="H326" i="2" s="1"/>
  <c r="E326" i="2"/>
  <c r="G326" i="2" s="1"/>
  <c r="F325" i="2"/>
  <c r="H325" i="2" s="1"/>
  <c r="E325" i="2"/>
  <c r="G325" i="2" s="1"/>
  <c r="F324" i="2"/>
  <c r="H324" i="2" s="1"/>
  <c r="E324" i="2"/>
  <c r="G324" i="2" s="1"/>
  <c r="F323" i="2"/>
  <c r="H323" i="2" s="1"/>
  <c r="E323" i="2"/>
  <c r="G323" i="2" s="1"/>
  <c r="F322" i="2"/>
  <c r="H322" i="2" s="1"/>
  <c r="E322" i="2"/>
  <c r="G322" i="2" s="1"/>
  <c r="F321" i="2"/>
  <c r="H321" i="2" s="1"/>
  <c r="E321" i="2"/>
  <c r="G321" i="2" s="1"/>
  <c r="F320" i="2"/>
  <c r="H320" i="2" s="1"/>
  <c r="E320" i="2"/>
  <c r="G320" i="2" s="1"/>
  <c r="F319" i="2"/>
  <c r="H319" i="2" s="1"/>
  <c r="E319" i="2"/>
  <c r="G319" i="2" s="1"/>
  <c r="F318" i="2"/>
  <c r="H318" i="2" s="1"/>
  <c r="E318" i="2"/>
  <c r="G318" i="2" s="1"/>
  <c r="F317" i="2"/>
  <c r="H317" i="2" s="1"/>
  <c r="E317" i="2"/>
  <c r="G317" i="2" s="1"/>
  <c r="F316" i="2"/>
  <c r="H316" i="2" s="1"/>
  <c r="E316" i="2"/>
  <c r="G316" i="2" s="1"/>
  <c r="F315" i="2"/>
  <c r="H315" i="2" s="1"/>
  <c r="E315" i="2"/>
  <c r="G315" i="2" s="1"/>
  <c r="F314" i="2"/>
  <c r="H314" i="2" s="1"/>
  <c r="E314" i="2"/>
  <c r="G314" i="2" s="1"/>
  <c r="F313" i="2"/>
  <c r="H313" i="2" s="1"/>
  <c r="E313" i="2"/>
  <c r="G313" i="2" s="1"/>
  <c r="G312" i="2"/>
  <c r="F312" i="2"/>
  <c r="H312" i="2" s="1"/>
  <c r="E312" i="2"/>
  <c r="F311" i="2"/>
  <c r="H311" i="2" s="1"/>
  <c r="E311" i="2"/>
  <c r="G311" i="2" s="1"/>
  <c r="F310" i="2"/>
  <c r="H310" i="2" s="1"/>
  <c r="E310" i="2"/>
  <c r="G310" i="2" s="1"/>
  <c r="F309" i="2"/>
  <c r="H309" i="2" s="1"/>
  <c r="E309" i="2"/>
  <c r="G309" i="2" s="1"/>
  <c r="F308" i="2"/>
  <c r="H308" i="2" s="1"/>
  <c r="E308" i="2"/>
  <c r="G308" i="2" s="1"/>
  <c r="F307" i="2"/>
  <c r="H307" i="2" s="1"/>
  <c r="E307" i="2"/>
  <c r="G307" i="2" s="1"/>
  <c r="F306" i="2"/>
  <c r="H306" i="2" s="1"/>
  <c r="E306" i="2"/>
  <c r="G306" i="2" s="1"/>
  <c r="F305" i="2"/>
  <c r="H305" i="2" s="1"/>
  <c r="E305" i="2"/>
  <c r="G305" i="2" s="1"/>
  <c r="F304" i="2"/>
  <c r="H304" i="2" s="1"/>
  <c r="E304" i="2"/>
  <c r="G304" i="2" s="1"/>
  <c r="F303" i="2"/>
  <c r="H303" i="2" s="1"/>
  <c r="E303" i="2"/>
  <c r="G303" i="2" s="1"/>
  <c r="F302" i="2"/>
  <c r="H302" i="2" s="1"/>
  <c r="E302" i="2"/>
  <c r="G302" i="2" s="1"/>
  <c r="F301" i="2"/>
  <c r="H301" i="2" s="1"/>
  <c r="E301" i="2"/>
  <c r="G301" i="2" s="1"/>
  <c r="F300" i="2"/>
  <c r="H300" i="2" s="1"/>
  <c r="E300" i="2"/>
  <c r="G300" i="2" s="1"/>
  <c r="F299" i="2"/>
  <c r="H299" i="2" s="1"/>
  <c r="E299" i="2"/>
  <c r="G299" i="2" s="1"/>
  <c r="F298" i="2"/>
  <c r="H298" i="2" s="1"/>
  <c r="E298" i="2"/>
  <c r="G298" i="2" s="1"/>
  <c r="F297" i="2"/>
  <c r="H297" i="2" s="1"/>
  <c r="E297" i="2"/>
  <c r="G297" i="2" s="1"/>
  <c r="F296" i="2"/>
  <c r="H296" i="2" s="1"/>
  <c r="E296" i="2"/>
  <c r="G296" i="2" s="1"/>
  <c r="F295" i="2"/>
  <c r="H295" i="2" s="1"/>
  <c r="E295" i="2"/>
  <c r="G295" i="2" s="1"/>
  <c r="F294" i="2"/>
  <c r="H294" i="2" s="1"/>
  <c r="E294" i="2"/>
  <c r="G294" i="2" s="1"/>
  <c r="F293" i="2"/>
  <c r="H293" i="2" s="1"/>
  <c r="E293" i="2"/>
  <c r="G293" i="2" s="1"/>
  <c r="F292" i="2"/>
  <c r="H292" i="2" s="1"/>
  <c r="E292" i="2"/>
  <c r="G292" i="2" s="1"/>
  <c r="F291" i="2"/>
  <c r="H291" i="2" s="1"/>
  <c r="E291" i="2"/>
  <c r="G291" i="2" s="1"/>
  <c r="F290" i="2"/>
  <c r="H290" i="2" s="1"/>
  <c r="E290" i="2"/>
  <c r="G290" i="2" s="1"/>
  <c r="F289" i="2"/>
  <c r="H289" i="2" s="1"/>
  <c r="E289" i="2"/>
  <c r="G289" i="2" s="1"/>
  <c r="F288" i="2"/>
  <c r="H288" i="2" s="1"/>
  <c r="E288" i="2"/>
  <c r="G288" i="2" s="1"/>
  <c r="F287" i="2"/>
  <c r="H287" i="2" s="1"/>
  <c r="E287" i="2"/>
  <c r="G287" i="2" s="1"/>
  <c r="F286" i="2"/>
  <c r="H286" i="2" s="1"/>
  <c r="E286" i="2"/>
  <c r="G286" i="2" s="1"/>
  <c r="F285" i="2"/>
  <c r="H285" i="2" s="1"/>
  <c r="E285" i="2"/>
  <c r="G285" i="2" s="1"/>
  <c r="F284" i="2"/>
  <c r="H284" i="2" s="1"/>
  <c r="E284" i="2"/>
  <c r="G284" i="2" s="1"/>
  <c r="F283" i="2"/>
  <c r="H283" i="2" s="1"/>
  <c r="E283" i="2"/>
  <c r="G283" i="2" s="1"/>
  <c r="F282" i="2"/>
  <c r="H282" i="2" s="1"/>
  <c r="E282" i="2"/>
  <c r="G282" i="2" s="1"/>
  <c r="F281" i="2"/>
  <c r="H281" i="2" s="1"/>
  <c r="E281" i="2"/>
  <c r="G281" i="2" s="1"/>
  <c r="F280" i="2"/>
  <c r="H280" i="2" s="1"/>
  <c r="E280" i="2"/>
  <c r="G280" i="2" s="1"/>
  <c r="F279" i="2"/>
  <c r="H279" i="2" s="1"/>
  <c r="E279" i="2"/>
  <c r="G279" i="2" s="1"/>
  <c r="F278" i="2"/>
  <c r="H278" i="2" s="1"/>
  <c r="E278" i="2"/>
  <c r="G278" i="2" s="1"/>
  <c r="F277" i="2"/>
  <c r="H277" i="2" s="1"/>
  <c r="E277" i="2"/>
  <c r="G277" i="2" s="1"/>
  <c r="F276" i="2"/>
  <c r="H276" i="2" s="1"/>
  <c r="E276" i="2"/>
  <c r="G276" i="2" s="1"/>
  <c r="F275" i="2"/>
  <c r="H275" i="2" s="1"/>
  <c r="E275" i="2"/>
  <c r="G275" i="2" s="1"/>
  <c r="F274" i="2"/>
  <c r="H274" i="2" s="1"/>
  <c r="E274" i="2"/>
  <c r="G274" i="2" s="1"/>
  <c r="F273" i="2"/>
  <c r="H273" i="2" s="1"/>
  <c r="E273" i="2"/>
  <c r="G273" i="2" s="1"/>
  <c r="F272" i="2"/>
  <c r="H272" i="2" s="1"/>
  <c r="E272" i="2"/>
  <c r="G272" i="2" s="1"/>
  <c r="F271" i="2"/>
  <c r="H271" i="2" s="1"/>
  <c r="E271" i="2"/>
  <c r="G271" i="2" s="1"/>
  <c r="F270" i="2"/>
  <c r="H270" i="2" s="1"/>
  <c r="E270" i="2"/>
  <c r="G270" i="2" s="1"/>
  <c r="F269" i="2"/>
  <c r="H269" i="2" s="1"/>
  <c r="E269" i="2"/>
  <c r="G269" i="2" s="1"/>
  <c r="F268" i="2"/>
  <c r="H268" i="2" s="1"/>
  <c r="E268" i="2"/>
  <c r="G268" i="2" s="1"/>
  <c r="F267" i="2"/>
  <c r="H267" i="2" s="1"/>
  <c r="E267" i="2"/>
  <c r="G267" i="2" s="1"/>
  <c r="F266" i="2"/>
  <c r="H266" i="2" s="1"/>
  <c r="E266" i="2"/>
  <c r="G266" i="2" s="1"/>
  <c r="F265" i="2"/>
  <c r="H265" i="2" s="1"/>
  <c r="E265" i="2"/>
  <c r="G265" i="2" s="1"/>
  <c r="F264" i="2"/>
  <c r="H264" i="2" s="1"/>
  <c r="E264" i="2"/>
  <c r="G264" i="2" s="1"/>
  <c r="F263" i="2"/>
  <c r="H263" i="2" s="1"/>
  <c r="E263" i="2"/>
  <c r="G263" i="2" s="1"/>
  <c r="F262" i="2"/>
  <c r="H262" i="2" s="1"/>
  <c r="E262" i="2"/>
  <c r="G262" i="2" s="1"/>
  <c r="F261" i="2"/>
  <c r="H261" i="2" s="1"/>
  <c r="E261" i="2"/>
  <c r="G261" i="2" s="1"/>
  <c r="F260" i="2"/>
  <c r="H260" i="2" s="1"/>
  <c r="E260" i="2"/>
  <c r="G260" i="2" s="1"/>
  <c r="F259" i="2"/>
  <c r="H259" i="2" s="1"/>
  <c r="E259" i="2"/>
  <c r="G259" i="2" s="1"/>
  <c r="F258" i="2"/>
  <c r="H258" i="2" s="1"/>
  <c r="E258" i="2"/>
  <c r="G258" i="2" s="1"/>
  <c r="F257" i="2"/>
  <c r="H257" i="2" s="1"/>
  <c r="E257" i="2"/>
  <c r="G257" i="2" s="1"/>
  <c r="F256" i="2"/>
  <c r="H256" i="2" s="1"/>
  <c r="E256" i="2"/>
  <c r="G256" i="2" s="1"/>
  <c r="F255" i="2"/>
  <c r="H255" i="2" s="1"/>
  <c r="E255" i="2"/>
  <c r="G255" i="2" s="1"/>
  <c r="F254" i="2"/>
  <c r="H254" i="2" s="1"/>
  <c r="E254" i="2"/>
  <c r="G254" i="2" s="1"/>
  <c r="F253" i="2"/>
  <c r="H253" i="2" s="1"/>
  <c r="E253" i="2"/>
  <c r="G253" i="2" s="1"/>
  <c r="F252" i="2"/>
  <c r="H252" i="2" s="1"/>
  <c r="E252" i="2"/>
  <c r="G252" i="2" s="1"/>
  <c r="F251" i="2"/>
  <c r="H251" i="2" s="1"/>
  <c r="E251" i="2"/>
  <c r="G251" i="2" s="1"/>
  <c r="F250" i="2"/>
  <c r="H250" i="2" s="1"/>
  <c r="E250" i="2"/>
  <c r="G250" i="2" s="1"/>
  <c r="F249" i="2"/>
  <c r="H249" i="2" s="1"/>
  <c r="E249" i="2"/>
  <c r="G249" i="2" s="1"/>
  <c r="F248" i="2"/>
  <c r="H248" i="2" s="1"/>
  <c r="E248" i="2"/>
  <c r="G248" i="2" s="1"/>
  <c r="F247" i="2"/>
  <c r="H247" i="2" s="1"/>
  <c r="E247" i="2"/>
  <c r="G247" i="2" s="1"/>
  <c r="F246" i="2"/>
  <c r="H246" i="2" s="1"/>
  <c r="E246" i="2"/>
  <c r="G246" i="2" s="1"/>
  <c r="F245" i="2"/>
  <c r="H245" i="2" s="1"/>
  <c r="E245" i="2"/>
  <c r="G245" i="2" s="1"/>
  <c r="F244" i="2"/>
  <c r="H244" i="2" s="1"/>
  <c r="E244" i="2"/>
  <c r="G244" i="2" s="1"/>
  <c r="F243" i="2"/>
  <c r="H243" i="2" s="1"/>
  <c r="E243" i="2"/>
  <c r="G243" i="2" s="1"/>
  <c r="F242" i="2"/>
  <c r="H242" i="2" s="1"/>
  <c r="E242" i="2"/>
  <c r="G242" i="2" s="1"/>
  <c r="F241" i="2"/>
  <c r="H241" i="2" s="1"/>
  <c r="E241" i="2"/>
  <c r="G241" i="2" s="1"/>
  <c r="F240" i="2"/>
  <c r="H240" i="2" s="1"/>
  <c r="E240" i="2"/>
  <c r="G240" i="2" s="1"/>
  <c r="H239" i="2"/>
  <c r="F239" i="2"/>
  <c r="E239" i="2"/>
  <c r="G239" i="2" s="1"/>
  <c r="F238" i="2"/>
  <c r="H238" i="2" s="1"/>
  <c r="E238" i="2"/>
  <c r="G238" i="2" s="1"/>
  <c r="F237" i="2"/>
  <c r="H237" i="2" s="1"/>
  <c r="E237" i="2"/>
  <c r="G237" i="2" s="1"/>
  <c r="F236" i="2"/>
  <c r="H236" i="2" s="1"/>
  <c r="E236" i="2"/>
  <c r="G236" i="2" s="1"/>
  <c r="F235" i="2"/>
  <c r="H235" i="2" s="1"/>
  <c r="E235" i="2"/>
  <c r="G235" i="2" s="1"/>
  <c r="F234" i="2"/>
  <c r="H234" i="2" s="1"/>
  <c r="E234" i="2"/>
  <c r="G234" i="2" s="1"/>
  <c r="F233" i="2"/>
  <c r="H233" i="2" s="1"/>
  <c r="E233" i="2"/>
  <c r="G233" i="2" s="1"/>
  <c r="F232" i="2"/>
  <c r="H232" i="2" s="1"/>
  <c r="E232" i="2"/>
  <c r="G232" i="2" s="1"/>
  <c r="F231" i="2"/>
  <c r="H231" i="2" s="1"/>
  <c r="E231" i="2"/>
  <c r="G231" i="2" s="1"/>
  <c r="F230" i="2"/>
  <c r="H230" i="2" s="1"/>
  <c r="E230" i="2"/>
  <c r="G230" i="2" s="1"/>
  <c r="F229" i="2"/>
  <c r="H229" i="2" s="1"/>
  <c r="E229" i="2"/>
  <c r="G229" i="2" s="1"/>
  <c r="F228" i="2"/>
  <c r="H228" i="2" s="1"/>
  <c r="E228" i="2"/>
  <c r="G228" i="2" s="1"/>
  <c r="F227" i="2"/>
  <c r="H227" i="2" s="1"/>
  <c r="E227" i="2"/>
  <c r="G227" i="2" s="1"/>
  <c r="F226" i="2"/>
  <c r="H226" i="2" s="1"/>
  <c r="E226" i="2"/>
  <c r="G226" i="2" s="1"/>
  <c r="F225" i="2"/>
  <c r="H225" i="2" s="1"/>
  <c r="E225" i="2"/>
  <c r="G225" i="2" s="1"/>
  <c r="F224" i="2"/>
  <c r="H224" i="2" s="1"/>
  <c r="E224" i="2"/>
  <c r="G224" i="2" s="1"/>
  <c r="F223" i="2"/>
  <c r="H223" i="2" s="1"/>
  <c r="E223" i="2"/>
  <c r="G223" i="2" s="1"/>
  <c r="F222" i="2"/>
  <c r="H222" i="2" s="1"/>
  <c r="E222" i="2"/>
  <c r="G222" i="2" s="1"/>
  <c r="F221" i="2"/>
  <c r="H221" i="2" s="1"/>
  <c r="E221" i="2"/>
  <c r="G221" i="2" s="1"/>
  <c r="F220" i="2"/>
  <c r="H220" i="2" s="1"/>
  <c r="E220" i="2"/>
  <c r="G220" i="2" s="1"/>
  <c r="F219" i="2"/>
  <c r="H219" i="2" s="1"/>
  <c r="E219" i="2"/>
  <c r="G219" i="2" s="1"/>
  <c r="F218" i="2"/>
  <c r="H218" i="2" s="1"/>
  <c r="E218" i="2"/>
  <c r="G218" i="2" s="1"/>
  <c r="F217" i="2"/>
  <c r="H217" i="2" s="1"/>
  <c r="E217" i="2"/>
  <c r="G217" i="2" s="1"/>
  <c r="F216" i="2"/>
  <c r="H216" i="2" s="1"/>
  <c r="E216" i="2"/>
  <c r="G216" i="2" s="1"/>
  <c r="F215" i="2"/>
  <c r="H215" i="2" s="1"/>
  <c r="E215" i="2"/>
  <c r="G215" i="2" s="1"/>
  <c r="G214" i="2"/>
  <c r="F214" i="2"/>
  <c r="H214" i="2" s="1"/>
  <c r="E214" i="2"/>
  <c r="F213" i="2"/>
  <c r="H213" i="2" s="1"/>
  <c r="E213" i="2"/>
  <c r="G213" i="2" s="1"/>
  <c r="F212" i="2"/>
  <c r="H212" i="2" s="1"/>
  <c r="E212" i="2"/>
  <c r="G212" i="2" s="1"/>
  <c r="F211" i="2"/>
  <c r="H211" i="2" s="1"/>
  <c r="E211" i="2"/>
  <c r="G211" i="2" s="1"/>
  <c r="F210" i="2"/>
  <c r="H210" i="2" s="1"/>
  <c r="E210" i="2"/>
  <c r="G210" i="2" s="1"/>
  <c r="G209" i="2"/>
  <c r="F209" i="2"/>
  <c r="H209" i="2" s="1"/>
  <c r="E209" i="2"/>
  <c r="F208" i="2"/>
  <c r="H208" i="2" s="1"/>
  <c r="E208" i="2"/>
  <c r="G208" i="2" s="1"/>
  <c r="F207" i="2"/>
  <c r="H207" i="2" s="1"/>
  <c r="E207" i="2"/>
  <c r="G207" i="2" s="1"/>
  <c r="F206" i="2"/>
  <c r="H206" i="2" s="1"/>
  <c r="E206" i="2"/>
  <c r="G206" i="2" s="1"/>
  <c r="F205" i="2"/>
  <c r="H205" i="2" s="1"/>
  <c r="E205" i="2"/>
  <c r="G205" i="2" s="1"/>
  <c r="F204" i="2"/>
  <c r="H204" i="2" s="1"/>
  <c r="E204" i="2"/>
  <c r="G204" i="2" s="1"/>
  <c r="F203" i="2"/>
  <c r="H203" i="2" s="1"/>
  <c r="E203" i="2"/>
  <c r="G203" i="2" s="1"/>
  <c r="F202" i="2"/>
  <c r="H202" i="2" s="1"/>
  <c r="E202" i="2"/>
  <c r="G202" i="2" s="1"/>
  <c r="F201" i="2"/>
  <c r="H201" i="2" s="1"/>
  <c r="E201" i="2"/>
  <c r="G201" i="2" s="1"/>
  <c r="F200" i="2"/>
  <c r="H200" i="2" s="1"/>
  <c r="E200" i="2"/>
  <c r="G200" i="2" s="1"/>
  <c r="F199" i="2"/>
  <c r="H199" i="2" s="1"/>
  <c r="E199" i="2"/>
  <c r="G199" i="2" s="1"/>
  <c r="F198" i="2"/>
  <c r="H198" i="2" s="1"/>
  <c r="E198" i="2"/>
  <c r="G198" i="2" s="1"/>
  <c r="F197" i="2"/>
  <c r="H197" i="2" s="1"/>
  <c r="E197" i="2"/>
  <c r="G197" i="2" s="1"/>
  <c r="F196" i="2"/>
  <c r="H196" i="2" s="1"/>
  <c r="E196" i="2"/>
  <c r="G196" i="2" s="1"/>
  <c r="F195" i="2"/>
  <c r="H195" i="2" s="1"/>
  <c r="E195" i="2"/>
  <c r="G195" i="2" s="1"/>
  <c r="F194" i="2"/>
  <c r="H194" i="2" s="1"/>
  <c r="E194" i="2"/>
  <c r="G194" i="2" s="1"/>
  <c r="F193" i="2"/>
  <c r="H193" i="2" s="1"/>
  <c r="E193" i="2"/>
  <c r="G193" i="2" s="1"/>
  <c r="F192" i="2"/>
  <c r="H192" i="2" s="1"/>
  <c r="E192" i="2"/>
  <c r="G192" i="2" s="1"/>
  <c r="F191" i="2"/>
  <c r="H191" i="2" s="1"/>
  <c r="E191" i="2"/>
  <c r="G191" i="2" s="1"/>
  <c r="F190" i="2"/>
  <c r="H190" i="2" s="1"/>
  <c r="E190" i="2"/>
  <c r="G190" i="2" s="1"/>
  <c r="F189" i="2"/>
  <c r="H189" i="2" s="1"/>
  <c r="E189" i="2"/>
  <c r="G189" i="2" s="1"/>
  <c r="F188" i="2"/>
  <c r="H188" i="2" s="1"/>
  <c r="E188" i="2"/>
  <c r="G188" i="2" s="1"/>
  <c r="F187" i="2"/>
  <c r="H187" i="2" s="1"/>
  <c r="E187" i="2"/>
  <c r="G187" i="2" s="1"/>
  <c r="F186" i="2"/>
  <c r="H186" i="2" s="1"/>
  <c r="E186" i="2"/>
  <c r="G186" i="2" s="1"/>
  <c r="F185" i="2"/>
  <c r="H185" i="2" s="1"/>
  <c r="E185" i="2"/>
  <c r="G185" i="2" s="1"/>
  <c r="F184" i="2"/>
  <c r="H184" i="2" s="1"/>
  <c r="E184" i="2"/>
  <c r="G184" i="2" s="1"/>
  <c r="F183" i="2"/>
  <c r="H183" i="2" s="1"/>
  <c r="E183" i="2"/>
  <c r="G183" i="2" s="1"/>
  <c r="F182" i="2"/>
  <c r="H182" i="2" s="1"/>
  <c r="E182" i="2"/>
  <c r="G182" i="2" s="1"/>
  <c r="F181" i="2"/>
  <c r="H181" i="2" s="1"/>
  <c r="E181" i="2"/>
  <c r="G181" i="2" s="1"/>
  <c r="F180" i="2"/>
  <c r="H180" i="2" s="1"/>
  <c r="E180" i="2"/>
  <c r="G180" i="2" s="1"/>
  <c r="F179" i="2"/>
  <c r="H179" i="2" s="1"/>
  <c r="E179" i="2"/>
  <c r="G179" i="2" s="1"/>
  <c r="F178" i="2"/>
  <c r="H178" i="2" s="1"/>
  <c r="E178" i="2"/>
  <c r="G178" i="2" s="1"/>
  <c r="F177" i="2"/>
  <c r="H177" i="2" s="1"/>
  <c r="E177" i="2"/>
  <c r="G177" i="2" s="1"/>
  <c r="F176" i="2"/>
  <c r="H176" i="2" s="1"/>
  <c r="E176" i="2"/>
  <c r="G176" i="2" s="1"/>
  <c r="F175" i="2"/>
  <c r="H175" i="2" s="1"/>
  <c r="E175" i="2"/>
  <c r="G175" i="2" s="1"/>
  <c r="F174" i="2"/>
  <c r="H174" i="2" s="1"/>
  <c r="E174" i="2"/>
  <c r="G174" i="2" s="1"/>
  <c r="F173" i="2"/>
  <c r="H173" i="2" s="1"/>
  <c r="E173" i="2"/>
  <c r="G173" i="2" s="1"/>
  <c r="F172" i="2"/>
  <c r="H172" i="2" s="1"/>
  <c r="E172" i="2"/>
  <c r="G172" i="2" s="1"/>
  <c r="F171" i="2"/>
  <c r="H171" i="2" s="1"/>
  <c r="E171" i="2"/>
  <c r="G171" i="2" s="1"/>
  <c r="F170" i="2"/>
  <c r="H170" i="2" s="1"/>
  <c r="E170" i="2"/>
  <c r="G170" i="2" s="1"/>
  <c r="F169" i="2"/>
  <c r="H169" i="2" s="1"/>
  <c r="E169" i="2"/>
  <c r="G169" i="2" s="1"/>
  <c r="F168" i="2"/>
  <c r="H168" i="2" s="1"/>
  <c r="E168" i="2"/>
  <c r="G168" i="2" s="1"/>
  <c r="F167" i="2"/>
  <c r="H167" i="2" s="1"/>
  <c r="E167" i="2"/>
  <c r="G167" i="2" s="1"/>
  <c r="F166" i="2"/>
  <c r="H166" i="2" s="1"/>
  <c r="E166" i="2"/>
  <c r="G166" i="2" s="1"/>
  <c r="F165" i="2"/>
  <c r="H165" i="2" s="1"/>
  <c r="E165" i="2"/>
  <c r="G165" i="2" s="1"/>
  <c r="F164" i="2"/>
  <c r="H164" i="2" s="1"/>
  <c r="E164" i="2"/>
  <c r="G164" i="2" s="1"/>
  <c r="F163" i="2"/>
  <c r="H163" i="2" s="1"/>
  <c r="E163" i="2"/>
  <c r="G163" i="2" s="1"/>
  <c r="F162" i="2"/>
  <c r="H162" i="2" s="1"/>
  <c r="E162" i="2"/>
  <c r="G162" i="2" s="1"/>
  <c r="F161" i="2"/>
  <c r="H161" i="2" s="1"/>
  <c r="E161" i="2"/>
  <c r="G161" i="2" s="1"/>
  <c r="F160" i="2"/>
  <c r="H160" i="2" s="1"/>
  <c r="E160" i="2"/>
  <c r="G160" i="2" s="1"/>
  <c r="F159" i="2"/>
  <c r="H159" i="2" s="1"/>
  <c r="E159" i="2"/>
  <c r="G159" i="2" s="1"/>
  <c r="F158" i="2"/>
  <c r="H158" i="2" s="1"/>
  <c r="E158" i="2"/>
  <c r="G158" i="2" s="1"/>
  <c r="F157" i="2"/>
  <c r="H157" i="2" s="1"/>
  <c r="E157" i="2"/>
  <c r="G157" i="2" s="1"/>
  <c r="F156" i="2"/>
  <c r="H156" i="2" s="1"/>
  <c r="E156" i="2"/>
  <c r="G156" i="2" s="1"/>
  <c r="F155" i="2"/>
  <c r="H155" i="2" s="1"/>
  <c r="E155" i="2"/>
  <c r="G155" i="2" s="1"/>
  <c r="F154" i="2"/>
  <c r="H154" i="2" s="1"/>
  <c r="E154" i="2"/>
  <c r="G154" i="2" s="1"/>
  <c r="F153" i="2"/>
  <c r="H153" i="2" s="1"/>
  <c r="E153" i="2"/>
  <c r="G153" i="2" s="1"/>
  <c r="F152" i="2"/>
  <c r="H152" i="2" s="1"/>
  <c r="E152" i="2"/>
  <c r="G152" i="2" s="1"/>
  <c r="F151" i="2"/>
  <c r="H151" i="2" s="1"/>
  <c r="E151" i="2"/>
  <c r="G151" i="2" s="1"/>
  <c r="F150" i="2"/>
  <c r="H150" i="2" s="1"/>
  <c r="E150" i="2"/>
  <c r="G150" i="2" s="1"/>
  <c r="F149" i="2"/>
  <c r="H149" i="2" s="1"/>
  <c r="E149" i="2"/>
  <c r="G149" i="2" s="1"/>
  <c r="F148" i="2"/>
  <c r="H148" i="2" s="1"/>
  <c r="E148" i="2"/>
  <c r="G148" i="2" s="1"/>
  <c r="F147" i="2"/>
  <c r="H147" i="2" s="1"/>
  <c r="E147" i="2"/>
  <c r="G147" i="2" s="1"/>
  <c r="G146" i="2"/>
  <c r="F146" i="2"/>
  <c r="H146" i="2" s="1"/>
  <c r="E146" i="2"/>
  <c r="G145" i="2"/>
  <c r="F145" i="2"/>
  <c r="H145" i="2" s="1"/>
  <c r="E145" i="2"/>
  <c r="F144" i="2"/>
  <c r="H144" i="2" s="1"/>
  <c r="E144" i="2"/>
  <c r="G144" i="2" s="1"/>
  <c r="F143" i="2"/>
  <c r="H143" i="2" s="1"/>
  <c r="E143" i="2"/>
  <c r="G143" i="2" s="1"/>
  <c r="F142" i="2"/>
  <c r="H142" i="2" s="1"/>
  <c r="E142" i="2"/>
  <c r="G142" i="2" s="1"/>
  <c r="F141" i="2"/>
  <c r="H141" i="2" s="1"/>
  <c r="E141" i="2"/>
  <c r="G141" i="2" s="1"/>
  <c r="F140" i="2"/>
  <c r="H140" i="2" s="1"/>
  <c r="E140" i="2"/>
  <c r="G140" i="2" s="1"/>
  <c r="F139" i="2"/>
  <c r="H139" i="2" s="1"/>
  <c r="E139" i="2"/>
  <c r="G139" i="2" s="1"/>
  <c r="F138" i="2"/>
  <c r="H138" i="2" s="1"/>
  <c r="E138" i="2"/>
  <c r="G138" i="2" s="1"/>
  <c r="F137" i="2"/>
  <c r="H137" i="2" s="1"/>
  <c r="E137" i="2"/>
  <c r="G137" i="2" s="1"/>
  <c r="F136" i="2"/>
  <c r="H136" i="2" s="1"/>
  <c r="E136" i="2"/>
  <c r="G136" i="2" s="1"/>
  <c r="F135" i="2"/>
  <c r="H135" i="2" s="1"/>
  <c r="E135" i="2"/>
  <c r="G135" i="2" s="1"/>
  <c r="F134" i="2"/>
  <c r="H134" i="2" s="1"/>
  <c r="E134" i="2"/>
  <c r="G134" i="2" s="1"/>
  <c r="F133" i="2"/>
  <c r="H133" i="2" s="1"/>
  <c r="E133" i="2"/>
  <c r="G133" i="2" s="1"/>
  <c r="F132" i="2"/>
  <c r="H132" i="2" s="1"/>
  <c r="E132" i="2"/>
  <c r="G132" i="2" s="1"/>
  <c r="F131" i="2"/>
  <c r="H131" i="2" s="1"/>
  <c r="E131" i="2"/>
  <c r="G131" i="2" s="1"/>
  <c r="F130" i="2"/>
  <c r="H130" i="2" s="1"/>
  <c r="E130" i="2"/>
  <c r="G130" i="2" s="1"/>
  <c r="F129" i="2"/>
  <c r="H129" i="2" s="1"/>
  <c r="E129" i="2"/>
  <c r="G129" i="2" s="1"/>
  <c r="F128" i="2"/>
  <c r="H128" i="2" s="1"/>
  <c r="E128" i="2"/>
  <c r="G128" i="2" s="1"/>
  <c r="F127" i="2"/>
  <c r="H127" i="2" s="1"/>
  <c r="E127" i="2"/>
  <c r="G127" i="2" s="1"/>
  <c r="F126" i="2"/>
  <c r="H126" i="2" s="1"/>
  <c r="E126" i="2"/>
  <c r="G126" i="2" s="1"/>
  <c r="F125" i="2"/>
  <c r="H125" i="2" s="1"/>
  <c r="E125" i="2"/>
  <c r="G125" i="2" s="1"/>
  <c r="F124" i="2"/>
  <c r="H124" i="2" s="1"/>
  <c r="E124" i="2"/>
  <c r="G124" i="2" s="1"/>
  <c r="F123" i="2"/>
  <c r="H123" i="2" s="1"/>
  <c r="E123" i="2"/>
  <c r="G123" i="2" s="1"/>
  <c r="F122" i="2"/>
  <c r="H122" i="2" s="1"/>
  <c r="E122" i="2"/>
  <c r="G122" i="2" s="1"/>
  <c r="F121" i="2"/>
  <c r="H121" i="2" s="1"/>
  <c r="E121" i="2"/>
  <c r="G121" i="2" s="1"/>
  <c r="F120" i="2"/>
  <c r="H120" i="2" s="1"/>
  <c r="E120" i="2"/>
  <c r="G120" i="2" s="1"/>
  <c r="F119" i="2"/>
  <c r="H119" i="2" s="1"/>
  <c r="E119" i="2"/>
  <c r="G119" i="2" s="1"/>
  <c r="F118" i="2"/>
  <c r="H118" i="2" s="1"/>
  <c r="E118" i="2"/>
  <c r="G118" i="2" s="1"/>
  <c r="F117" i="2"/>
  <c r="H117" i="2" s="1"/>
  <c r="E117" i="2"/>
  <c r="G117" i="2" s="1"/>
  <c r="F116" i="2"/>
  <c r="H116" i="2" s="1"/>
  <c r="E116" i="2"/>
  <c r="G116" i="2" s="1"/>
  <c r="F115" i="2"/>
  <c r="H115" i="2" s="1"/>
  <c r="E115" i="2"/>
  <c r="G115" i="2" s="1"/>
  <c r="F114" i="2"/>
  <c r="H114" i="2" s="1"/>
  <c r="E114" i="2"/>
  <c r="G114" i="2" s="1"/>
  <c r="F113" i="2"/>
  <c r="H113" i="2" s="1"/>
  <c r="E113" i="2"/>
  <c r="G113" i="2" s="1"/>
  <c r="F112" i="2"/>
  <c r="H112" i="2" s="1"/>
  <c r="E112" i="2"/>
  <c r="G112" i="2" s="1"/>
  <c r="F111" i="2"/>
  <c r="H111" i="2" s="1"/>
  <c r="E111" i="2"/>
  <c r="G111" i="2" s="1"/>
  <c r="F110" i="2"/>
  <c r="H110" i="2" s="1"/>
  <c r="E110" i="2"/>
  <c r="G110" i="2" s="1"/>
  <c r="H109" i="2"/>
  <c r="G109" i="2"/>
  <c r="F109" i="2"/>
  <c r="E109" i="2"/>
  <c r="F108" i="2"/>
  <c r="H108" i="2" s="1"/>
  <c r="E108" i="2"/>
  <c r="G108" i="2" s="1"/>
  <c r="F107" i="2"/>
  <c r="H107" i="2" s="1"/>
  <c r="E107" i="2"/>
  <c r="G107" i="2" s="1"/>
  <c r="F106" i="2"/>
  <c r="H106" i="2" s="1"/>
  <c r="E106" i="2"/>
  <c r="G106" i="2" s="1"/>
  <c r="F105" i="2"/>
  <c r="H105" i="2" s="1"/>
  <c r="E105" i="2"/>
  <c r="G105" i="2" s="1"/>
  <c r="F104" i="2"/>
  <c r="H104" i="2" s="1"/>
  <c r="E104" i="2"/>
  <c r="G104" i="2" s="1"/>
  <c r="F103" i="2"/>
  <c r="H103" i="2" s="1"/>
  <c r="E103" i="2"/>
  <c r="G103" i="2" s="1"/>
  <c r="F102" i="2"/>
  <c r="H102" i="2" s="1"/>
  <c r="E102" i="2"/>
  <c r="G102" i="2" s="1"/>
  <c r="F101" i="2"/>
  <c r="H101" i="2" s="1"/>
  <c r="E101" i="2"/>
  <c r="G101" i="2" s="1"/>
  <c r="F100" i="2"/>
  <c r="H100" i="2" s="1"/>
  <c r="E100" i="2"/>
  <c r="G100" i="2" s="1"/>
  <c r="F99" i="2"/>
  <c r="H99" i="2" s="1"/>
  <c r="E99" i="2"/>
  <c r="G99" i="2" s="1"/>
  <c r="F98" i="2"/>
  <c r="H98" i="2" s="1"/>
  <c r="E98" i="2"/>
  <c r="G98" i="2" s="1"/>
  <c r="F97" i="2"/>
  <c r="H97" i="2" s="1"/>
  <c r="E97" i="2"/>
  <c r="G97" i="2" s="1"/>
  <c r="F96" i="2"/>
  <c r="H96" i="2" s="1"/>
  <c r="E96" i="2"/>
  <c r="G96" i="2" s="1"/>
  <c r="F95" i="2"/>
  <c r="H95" i="2" s="1"/>
  <c r="E95" i="2"/>
  <c r="G95" i="2" s="1"/>
  <c r="F94" i="2"/>
  <c r="H94" i="2" s="1"/>
  <c r="E94" i="2"/>
  <c r="G94" i="2" s="1"/>
  <c r="F93" i="2"/>
  <c r="H93" i="2" s="1"/>
  <c r="E93" i="2"/>
  <c r="G93" i="2" s="1"/>
  <c r="F92" i="2"/>
  <c r="H92" i="2" s="1"/>
  <c r="E92" i="2"/>
  <c r="G92" i="2" s="1"/>
  <c r="F91" i="2"/>
  <c r="H91" i="2" s="1"/>
  <c r="E91" i="2"/>
  <c r="G91" i="2" s="1"/>
  <c r="F90" i="2"/>
  <c r="H90" i="2" s="1"/>
  <c r="E90" i="2"/>
  <c r="G90" i="2" s="1"/>
  <c r="F89" i="2"/>
  <c r="H89" i="2" s="1"/>
  <c r="E89" i="2"/>
  <c r="G89" i="2" s="1"/>
  <c r="F88" i="2"/>
  <c r="H88" i="2" s="1"/>
  <c r="E88" i="2"/>
  <c r="G88" i="2" s="1"/>
  <c r="F87" i="2"/>
  <c r="H87" i="2" s="1"/>
  <c r="E87" i="2"/>
  <c r="G87" i="2" s="1"/>
  <c r="F86" i="2"/>
  <c r="H86" i="2" s="1"/>
  <c r="E86" i="2"/>
  <c r="G86" i="2" s="1"/>
  <c r="F85" i="2"/>
  <c r="H85" i="2" s="1"/>
  <c r="E85" i="2"/>
  <c r="G85" i="2" s="1"/>
  <c r="G84" i="2"/>
  <c r="F84" i="2"/>
  <c r="H84" i="2" s="1"/>
  <c r="E84" i="2"/>
  <c r="F83" i="2"/>
  <c r="H83" i="2" s="1"/>
  <c r="E83" i="2"/>
  <c r="G83" i="2" s="1"/>
  <c r="F82" i="2"/>
  <c r="H82" i="2" s="1"/>
  <c r="E82" i="2"/>
  <c r="G82" i="2" s="1"/>
  <c r="F81" i="2"/>
  <c r="H81" i="2" s="1"/>
  <c r="E81" i="2"/>
  <c r="G81" i="2" s="1"/>
  <c r="F80" i="2"/>
  <c r="H80" i="2" s="1"/>
  <c r="E80" i="2"/>
  <c r="G80" i="2" s="1"/>
  <c r="F79" i="2"/>
  <c r="H79" i="2" s="1"/>
  <c r="E79" i="2"/>
  <c r="G79" i="2" s="1"/>
  <c r="F78" i="2"/>
  <c r="H78" i="2" s="1"/>
  <c r="E78" i="2"/>
  <c r="G78" i="2" s="1"/>
  <c r="F77" i="2"/>
  <c r="H77" i="2" s="1"/>
  <c r="E77" i="2"/>
  <c r="G77" i="2" s="1"/>
  <c r="F76" i="2"/>
  <c r="H76" i="2" s="1"/>
  <c r="E76" i="2"/>
  <c r="G76" i="2" s="1"/>
  <c r="F75" i="2"/>
  <c r="H75" i="2" s="1"/>
  <c r="E75" i="2"/>
  <c r="G75" i="2" s="1"/>
  <c r="F74" i="2"/>
  <c r="H74" i="2" s="1"/>
  <c r="E74" i="2"/>
  <c r="G74" i="2" s="1"/>
  <c r="F73" i="2"/>
  <c r="H73" i="2" s="1"/>
  <c r="E73" i="2"/>
  <c r="G73" i="2" s="1"/>
  <c r="F72" i="2"/>
  <c r="H72" i="2" s="1"/>
  <c r="E72" i="2"/>
  <c r="G72" i="2" s="1"/>
  <c r="F71" i="2"/>
  <c r="H71" i="2" s="1"/>
  <c r="E71" i="2"/>
  <c r="G71" i="2" s="1"/>
  <c r="F70" i="2"/>
  <c r="H70" i="2" s="1"/>
  <c r="E70" i="2"/>
  <c r="G70" i="2" s="1"/>
  <c r="F69" i="2"/>
  <c r="H69" i="2" s="1"/>
  <c r="E69" i="2"/>
  <c r="G69" i="2" s="1"/>
  <c r="F68" i="2"/>
  <c r="H68" i="2" s="1"/>
  <c r="E68" i="2"/>
  <c r="G68" i="2" s="1"/>
  <c r="F67" i="2"/>
  <c r="H67" i="2" s="1"/>
  <c r="E67" i="2"/>
  <c r="G67" i="2" s="1"/>
  <c r="F66" i="2"/>
  <c r="H66" i="2" s="1"/>
  <c r="E66" i="2"/>
  <c r="G66" i="2" s="1"/>
  <c r="F65" i="2"/>
  <c r="H65" i="2" s="1"/>
  <c r="E65" i="2"/>
  <c r="G65" i="2" s="1"/>
  <c r="F64" i="2"/>
  <c r="H64" i="2" s="1"/>
  <c r="E64" i="2"/>
  <c r="G64" i="2" s="1"/>
  <c r="F63" i="2"/>
  <c r="H63" i="2" s="1"/>
  <c r="E63" i="2"/>
  <c r="G63" i="2" s="1"/>
  <c r="F62" i="2"/>
  <c r="H62" i="2" s="1"/>
  <c r="E62" i="2"/>
  <c r="G62" i="2" s="1"/>
  <c r="F61" i="2"/>
  <c r="H61" i="2" s="1"/>
  <c r="E61" i="2"/>
  <c r="G61" i="2" s="1"/>
  <c r="F60" i="2"/>
  <c r="H60" i="2" s="1"/>
  <c r="E60" i="2"/>
  <c r="G60" i="2" s="1"/>
  <c r="F59" i="2"/>
  <c r="H59" i="2" s="1"/>
  <c r="E59" i="2"/>
  <c r="G59" i="2" s="1"/>
  <c r="F58" i="2"/>
  <c r="H58" i="2" s="1"/>
  <c r="E58" i="2"/>
  <c r="G58" i="2" s="1"/>
  <c r="F57" i="2"/>
  <c r="H57" i="2" s="1"/>
  <c r="E57" i="2"/>
  <c r="G57" i="2" s="1"/>
  <c r="F56" i="2"/>
  <c r="H56" i="2" s="1"/>
  <c r="E56" i="2"/>
  <c r="G56" i="2" s="1"/>
  <c r="F55" i="2"/>
  <c r="H55" i="2" s="1"/>
  <c r="E55" i="2"/>
  <c r="G55" i="2" s="1"/>
  <c r="F54" i="2"/>
  <c r="H54" i="2" s="1"/>
  <c r="E54" i="2"/>
  <c r="G54" i="2" s="1"/>
  <c r="F53" i="2"/>
  <c r="H53" i="2" s="1"/>
  <c r="E53" i="2"/>
  <c r="G53" i="2" s="1"/>
  <c r="F52" i="2"/>
  <c r="H52" i="2" s="1"/>
  <c r="E52" i="2"/>
  <c r="G52" i="2" s="1"/>
  <c r="F51" i="2"/>
  <c r="H51" i="2" s="1"/>
  <c r="E51" i="2"/>
  <c r="G51" i="2" s="1"/>
  <c r="F50" i="2"/>
  <c r="H50" i="2" s="1"/>
  <c r="E50" i="2"/>
  <c r="G50" i="2" s="1"/>
  <c r="F49" i="2"/>
  <c r="H49" i="2" s="1"/>
  <c r="E49" i="2"/>
  <c r="G49" i="2" s="1"/>
  <c r="F48" i="2"/>
  <c r="H48" i="2" s="1"/>
  <c r="E48" i="2"/>
  <c r="G48" i="2" s="1"/>
  <c r="F47" i="2"/>
  <c r="H47" i="2" s="1"/>
  <c r="E47" i="2"/>
  <c r="G47" i="2" s="1"/>
  <c r="F46" i="2"/>
  <c r="H46" i="2" s="1"/>
  <c r="E46" i="2"/>
  <c r="G46" i="2" s="1"/>
  <c r="F45" i="2"/>
  <c r="H45" i="2" s="1"/>
  <c r="E45" i="2"/>
  <c r="G45" i="2" s="1"/>
  <c r="F44" i="2"/>
  <c r="H44" i="2" s="1"/>
  <c r="E44" i="2"/>
  <c r="G44" i="2" s="1"/>
  <c r="F43" i="2"/>
  <c r="H43" i="2" s="1"/>
  <c r="E43" i="2"/>
  <c r="G43" i="2" s="1"/>
  <c r="F42" i="2"/>
  <c r="H42" i="2" s="1"/>
  <c r="E42" i="2"/>
  <c r="G42" i="2" s="1"/>
  <c r="F41" i="2"/>
  <c r="H41" i="2" s="1"/>
  <c r="E41" i="2"/>
  <c r="G41" i="2" s="1"/>
  <c r="F40" i="2"/>
  <c r="H40" i="2" s="1"/>
  <c r="E40" i="2"/>
  <c r="G40" i="2" s="1"/>
  <c r="F39" i="2"/>
  <c r="H39" i="2" s="1"/>
  <c r="E39" i="2"/>
  <c r="G39" i="2" s="1"/>
  <c r="F38" i="2"/>
  <c r="H38" i="2" s="1"/>
  <c r="E38" i="2"/>
  <c r="G38" i="2" s="1"/>
  <c r="F37" i="2"/>
  <c r="H37" i="2" s="1"/>
  <c r="E37" i="2"/>
  <c r="G37" i="2" s="1"/>
  <c r="F36" i="2"/>
  <c r="H36" i="2" s="1"/>
  <c r="E36" i="2"/>
  <c r="G36" i="2" s="1"/>
  <c r="F35" i="2"/>
  <c r="H35" i="2" s="1"/>
  <c r="E35" i="2"/>
  <c r="G35" i="2" s="1"/>
  <c r="F34" i="2"/>
  <c r="H34" i="2" s="1"/>
  <c r="E34" i="2"/>
  <c r="G34" i="2" s="1"/>
  <c r="F33" i="2"/>
  <c r="H33" i="2" s="1"/>
  <c r="E33" i="2"/>
  <c r="G33" i="2" s="1"/>
  <c r="F32" i="2"/>
  <c r="H32" i="2" s="1"/>
  <c r="E32" i="2"/>
  <c r="G32" i="2" s="1"/>
  <c r="F31" i="2"/>
  <c r="H31" i="2" s="1"/>
  <c r="E31" i="2"/>
  <c r="G31" i="2" s="1"/>
  <c r="F30" i="2"/>
  <c r="H30" i="2" s="1"/>
  <c r="E30" i="2"/>
  <c r="G30" i="2" s="1"/>
  <c r="F29" i="2"/>
  <c r="H29" i="2" s="1"/>
  <c r="E29" i="2"/>
  <c r="G29" i="2" s="1"/>
  <c r="F28" i="2"/>
  <c r="H28" i="2" s="1"/>
  <c r="E28" i="2"/>
  <c r="G28" i="2" s="1"/>
  <c r="F27" i="2"/>
  <c r="H27" i="2" s="1"/>
  <c r="E27" i="2"/>
  <c r="G27" i="2" s="1"/>
  <c r="F26" i="2"/>
  <c r="H26" i="2" s="1"/>
  <c r="E26" i="2"/>
  <c r="G26" i="2" s="1"/>
  <c r="F25" i="2"/>
  <c r="H25" i="2" s="1"/>
  <c r="E25" i="2"/>
  <c r="G25" i="2" s="1"/>
  <c r="F24" i="2"/>
  <c r="H24" i="2" s="1"/>
  <c r="E24" i="2"/>
  <c r="G24" i="2" s="1"/>
  <c r="F23" i="2"/>
  <c r="H23" i="2" s="1"/>
  <c r="E23" i="2"/>
  <c r="G23" i="2" s="1"/>
  <c r="F22" i="2"/>
  <c r="H22" i="2" s="1"/>
  <c r="E22" i="2"/>
  <c r="G22" i="2" s="1"/>
  <c r="F21" i="2"/>
  <c r="H21" i="2" s="1"/>
  <c r="E21" i="2"/>
  <c r="G21" i="2" s="1"/>
  <c r="F20" i="2"/>
  <c r="H20" i="2" s="1"/>
  <c r="E20" i="2"/>
  <c r="G20" i="2" s="1"/>
  <c r="F19" i="2"/>
  <c r="H19" i="2" s="1"/>
  <c r="E19" i="2"/>
  <c r="G19" i="2" s="1"/>
  <c r="F18" i="2"/>
  <c r="H18" i="2" s="1"/>
  <c r="E18" i="2"/>
  <c r="G18" i="2" s="1"/>
  <c r="F17" i="2"/>
  <c r="H17" i="2" s="1"/>
  <c r="E17" i="2"/>
  <c r="G17" i="2" s="1"/>
  <c r="F16" i="2"/>
  <c r="H16" i="2" s="1"/>
  <c r="E16" i="2"/>
  <c r="G16" i="2" s="1"/>
  <c r="F15" i="2"/>
  <c r="H15" i="2" s="1"/>
  <c r="E15" i="2"/>
  <c r="G15" i="2" s="1"/>
  <c r="F14" i="2"/>
  <c r="H14" i="2" s="1"/>
  <c r="E14" i="2"/>
  <c r="G14" i="2" s="1"/>
  <c r="F13" i="2"/>
  <c r="H13" i="2" s="1"/>
  <c r="E13" i="2"/>
  <c r="G13" i="2" s="1"/>
  <c r="F12" i="2"/>
  <c r="H12" i="2" s="1"/>
  <c r="E12" i="2"/>
  <c r="G12" i="2" s="1"/>
  <c r="F11" i="2"/>
  <c r="H11" i="2" s="1"/>
  <c r="E11" i="2"/>
  <c r="G11" i="2" s="1"/>
  <c r="F10" i="2"/>
  <c r="H10" i="2" s="1"/>
  <c r="E10" i="2"/>
  <c r="G10" i="2" s="1"/>
  <c r="F9" i="2"/>
  <c r="H9" i="2" s="1"/>
  <c r="E9" i="2"/>
  <c r="G9" i="2" s="1"/>
  <c r="F8" i="2"/>
  <c r="H8" i="2" s="1"/>
  <c r="E8" i="2"/>
  <c r="G8" i="2" s="1"/>
  <c r="F7" i="2"/>
  <c r="H7" i="2" s="1"/>
  <c r="E7" i="2"/>
  <c r="G7" i="2" s="1"/>
  <c r="F6" i="2"/>
  <c r="H6" i="2" s="1"/>
  <c r="E6" i="2"/>
  <c r="G6" i="2" s="1"/>
  <c r="F5" i="2"/>
  <c r="H5" i="2" s="1"/>
  <c r="E5" i="2"/>
  <c r="G5" i="2" s="1"/>
  <c r="F4" i="2"/>
  <c r="H4" i="2" s="1"/>
  <c r="E4" i="2"/>
  <c r="G4" i="2" s="1"/>
  <c r="F3" i="2"/>
  <c r="H3" i="2" s="1"/>
  <c r="E3" i="2"/>
  <c r="G3" i="2" s="1"/>
  <c r="F2" i="2"/>
  <c r="E2" i="2"/>
  <c r="F8" i="1"/>
  <c r="H8" i="1" s="1"/>
  <c r="E8" i="1"/>
  <c r="G8" i="1" s="1"/>
  <c r="J4" i="1"/>
  <c r="A4" i="1"/>
  <c r="H463" i="2" l="1"/>
  <c r="G4" i="1"/>
  <c r="G463" i="2"/>
  <c r="M4" i="1" s="1"/>
  <c r="D4" i="1"/>
  <c r="I8" i="1"/>
  <c r="Q302" i="1" l="1"/>
  <c r="Q463" i="1"/>
  <c r="R462" i="1"/>
  <c r="P462" i="1"/>
  <c r="Q461" i="1"/>
  <c r="R460" i="1"/>
  <c r="P460" i="1"/>
  <c r="Q459" i="1"/>
  <c r="R458" i="1"/>
  <c r="P458" i="1"/>
  <c r="Q457" i="1"/>
  <c r="R456" i="1"/>
  <c r="P456" i="1"/>
  <c r="Q455" i="1"/>
  <c r="R454" i="1"/>
  <c r="P454" i="1"/>
  <c r="P453" i="1"/>
  <c r="Q452" i="1"/>
  <c r="Q448" i="1"/>
  <c r="P448" i="1"/>
  <c r="R447" i="1"/>
  <c r="Q447" i="1"/>
  <c r="P447" i="1"/>
  <c r="R446" i="1"/>
  <c r="P446" i="1"/>
  <c r="Q445" i="1"/>
  <c r="R444" i="1"/>
  <c r="P444" i="1"/>
  <c r="Q443" i="1"/>
  <c r="R442" i="1"/>
  <c r="Q442" i="1"/>
  <c r="R441" i="1"/>
  <c r="P441" i="1"/>
  <c r="Q440" i="1"/>
  <c r="R439" i="1"/>
  <c r="R438" i="1"/>
  <c r="P438" i="1"/>
  <c r="R463" i="1"/>
  <c r="P463" i="1"/>
  <c r="Q462" i="1"/>
  <c r="R461" i="1"/>
  <c r="P461" i="1"/>
  <c r="Q460" i="1"/>
  <c r="R459" i="1"/>
  <c r="P459" i="1"/>
  <c r="Q458" i="1"/>
  <c r="R457" i="1"/>
  <c r="P457" i="1"/>
  <c r="Q456" i="1"/>
  <c r="R455" i="1"/>
  <c r="P455" i="1"/>
  <c r="Q454" i="1"/>
  <c r="R453" i="1"/>
  <c r="Q453" i="1"/>
  <c r="R452" i="1"/>
  <c r="P452" i="1"/>
  <c r="R451" i="1"/>
  <c r="Q451" i="1"/>
  <c r="P451" i="1"/>
  <c r="R450" i="1"/>
  <c r="Q450" i="1"/>
  <c r="P450" i="1"/>
  <c r="R449" i="1"/>
  <c r="Q449" i="1"/>
  <c r="P449" i="1"/>
  <c r="R448" i="1"/>
  <c r="Q446" i="1"/>
  <c r="R445" i="1"/>
  <c r="P445" i="1"/>
  <c r="Q444" i="1"/>
  <c r="R443" i="1"/>
  <c r="P443" i="1"/>
  <c r="Q441" i="1"/>
  <c r="R440" i="1"/>
  <c r="P440" i="1"/>
  <c r="Q439" i="1"/>
  <c r="P439" i="1"/>
  <c r="Q438" i="1"/>
  <c r="R7" i="1"/>
  <c r="Q7" i="1"/>
  <c r="P7" i="1"/>
  <c r="R6" i="1"/>
  <c r="Q6" i="1"/>
  <c r="P6" i="1"/>
  <c r="R5" i="1"/>
  <c r="Q5" i="1"/>
  <c r="P5" i="1"/>
  <c r="Q4" i="1"/>
  <c r="P442" i="1"/>
  <c r="R4" i="1"/>
  <c r="P4" i="1"/>
  <c r="R3" i="1"/>
  <c r="Q3" i="1"/>
  <c r="P3" i="1"/>
  <c r="R2" i="1"/>
  <c r="Q2" i="1"/>
  <c r="P2" i="1"/>
  <c r="R437" i="1"/>
  <c r="Q437" i="1"/>
  <c r="P437" i="1"/>
  <c r="R436" i="1"/>
  <c r="Q436" i="1"/>
  <c r="P436" i="1"/>
  <c r="R435" i="1"/>
  <c r="Q435" i="1"/>
  <c r="P435" i="1"/>
  <c r="R434" i="1"/>
  <c r="Q434" i="1"/>
  <c r="P434" i="1"/>
  <c r="R433" i="1"/>
  <c r="Q433" i="1"/>
  <c r="P433" i="1"/>
  <c r="R432" i="1"/>
  <c r="Q432" i="1"/>
  <c r="P432" i="1"/>
  <c r="R431" i="1"/>
  <c r="Q431" i="1"/>
  <c r="P431" i="1"/>
  <c r="R430" i="1"/>
  <c r="Q430" i="1"/>
  <c r="P430" i="1"/>
  <c r="R429" i="1"/>
  <c r="Q429" i="1"/>
  <c r="P429" i="1"/>
  <c r="R428" i="1"/>
  <c r="Q428" i="1"/>
  <c r="P428" i="1"/>
  <c r="R427" i="1"/>
  <c r="Q427" i="1"/>
  <c r="P427" i="1"/>
  <c r="R426" i="1"/>
  <c r="Q426" i="1"/>
  <c r="P426" i="1"/>
  <c r="R425" i="1"/>
  <c r="Q425" i="1"/>
  <c r="P425" i="1"/>
  <c r="R424" i="1"/>
  <c r="Q424" i="1"/>
  <c r="P424" i="1"/>
  <c r="R423" i="1"/>
  <c r="Q423" i="1"/>
  <c r="P423" i="1"/>
  <c r="R422" i="1"/>
  <c r="Q422" i="1"/>
  <c r="P422" i="1"/>
  <c r="R421" i="1"/>
  <c r="Q421" i="1"/>
  <c r="P421" i="1"/>
  <c r="R420" i="1"/>
  <c r="Q420" i="1"/>
  <c r="P420" i="1"/>
  <c r="R419" i="1"/>
  <c r="Q419" i="1"/>
  <c r="P419" i="1"/>
  <c r="R418" i="1"/>
  <c r="Q418" i="1"/>
  <c r="P418" i="1"/>
  <c r="R417" i="1"/>
  <c r="Q417" i="1"/>
  <c r="P417" i="1"/>
  <c r="R416" i="1"/>
  <c r="Q416" i="1"/>
  <c r="P416" i="1"/>
  <c r="R415" i="1"/>
  <c r="Q415" i="1"/>
  <c r="P415" i="1"/>
  <c r="R414" i="1"/>
  <c r="Q414" i="1"/>
  <c r="P414" i="1"/>
  <c r="R413" i="1"/>
  <c r="Q413" i="1"/>
  <c r="P413" i="1"/>
  <c r="R412" i="1"/>
  <c r="Q412" i="1"/>
  <c r="P412" i="1"/>
  <c r="R411" i="1"/>
  <c r="Q411" i="1"/>
  <c r="P411" i="1"/>
  <c r="R410" i="1"/>
  <c r="Q410" i="1"/>
  <c r="P410" i="1"/>
  <c r="R409" i="1"/>
  <c r="Q409" i="1"/>
  <c r="P409" i="1"/>
  <c r="R408" i="1"/>
  <c r="Q408" i="1"/>
  <c r="P408" i="1"/>
  <c r="R407" i="1"/>
  <c r="Q407" i="1"/>
  <c r="P407" i="1"/>
  <c r="R406" i="1"/>
  <c r="Q406" i="1"/>
  <c r="P406" i="1"/>
  <c r="R405" i="1"/>
  <c r="Q405" i="1"/>
  <c r="P405" i="1"/>
  <c r="R404" i="1"/>
  <c r="Q404" i="1"/>
  <c r="P404" i="1"/>
  <c r="R403" i="1"/>
  <c r="Q403" i="1"/>
  <c r="P403" i="1"/>
  <c r="R402" i="1"/>
  <c r="Q402" i="1"/>
  <c r="P402" i="1"/>
  <c r="R401" i="1"/>
  <c r="Q401" i="1"/>
  <c r="P401" i="1"/>
  <c r="R400" i="1"/>
  <c r="Q400" i="1"/>
  <c r="P400" i="1"/>
  <c r="R399" i="1"/>
  <c r="Q399" i="1"/>
  <c r="P399" i="1"/>
  <c r="R398" i="1"/>
  <c r="Q398" i="1"/>
  <c r="P398" i="1"/>
  <c r="R397" i="1"/>
  <c r="Q397" i="1"/>
  <c r="P397" i="1"/>
  <c r="R396" i="1"/>
  <c r="Q396" i="1"/>
  <c r="P396" i="1"/>
  <c r="R395" i="1"/>
  <c r="Q395" i="1"/>
  <c r="P395" i="1"/>
  <c r="R394" i="1"/>
  <c r="Q394" i="1"/>
  <c r="P394" i="1"/>
  <c r="R393" i="1"/>
  <c r="Q393" i="1"/>
  <c r="P393" i="1"/>
  <c r="R392" i="1"/>
  <c r="Q392" i="1"/>
  <c r="P392" i="1"/>
  <c r="R391" i="1"/>
  <c r="Q391" i="1"/>
  <c r="P391" i="1"/>
  <c r="R390" i="1"/>
  <c r="Q390" i="1"/>
  <c r="P390" i="1"/>
  <c r="R389" i="1"/>
  <c r="Q389" i="1"/>
  <c r="P389" i="1"/>
  <c r="R388" i="1"/>
  <c r="Q388" i="1"/>
  <c r="P388" i="1"/>
  <c r="R387" i="1"/>
  <c r="Q387" i="1"/>
  <c r="P387" i="1"/>
  <c r="R386" i="1"/>
  <c r="Q386" i="1"/>
  <c r="P386" i="1"/>
  <c r="R385" i="1"/>
  <c r="Q385" i="1"/>
  <c r="P385" i="1"/>
  <c r="R384" i="1"/>
  <c r="Q384" i="1"/>
  <c r="P384" i="1"/>
  <c r="R383" i="1"/>
  <c r="Q383" i="1"/>
  <c r="P383" i="1"/>
  <c r="R382" i="1"/>
  <c r="Q382" i="1"/>
  <c r="P382" i="1"/>
  <c r="R381" i="1"/>
  <c r="Q381" i="1"/>
  <c r="P381" i="1"/>
  <c r="R380" i="1"/>
  <c r="Q380" i="1"/>
  <c r="P380" i="1"/>
  <c r="R379" i="1"/>
  <c r="Q379" i="1"/>
  <c r="P379" i="1"/>
  <c r="R378" i="1"/>
  <c r="Q378" i="1"/>
  <c r="P378" i="1"/>
  <c r="R377" i="1"/>
  <c r="Q377" i="1"/>
  <c r="P377" i="1"/>
  <c r="R376" i="1"/>
  <c r="Q376" i="1"/>
  <c r="P376" i="1"/>
  <c r="R375" i="1"/>
  <c r="Q375" i="1"/>
  <c r="P375" i="1"/>
  <c r="R374" i="1"/>
  <c r="Q374" i="1"/>
  <c r="P374" i="1"/>
  <c r="R373" i="1"/>
  <c r="Q373" i="1"/>
  <c r="P373" i="1"/>
  <c r="R372" i="1"/>
  <c r="Q372" i="1"/>
  <c r="P372" i="1"/>
  <c r="R371" i="1"/>
  <c r="Q371" i="1"/>
  <c r="P371" i="1"/>
  <c r="R370" i="1"/>
  <c r="Q370" i="1"/>
  <c r="P370" i="1"/>
  <c r="R369" i="1"/>
  <c r="Q369" i="1"/>
  <c r="P369" i="1"/>
  <c r="R368" i="1"/>
  <c r="Q368" i="1"/>
  <c r="P368" i="1"/>
  <c r="R367" i="1"/>
  <c r="Q367" i="1"/>
  <c r="P367" i="1"/>
  <c r="R366" i="1"/>
  <c r="Q366" i="1"/>
  <c r="P366" i="1"/>
  <c r="R365" i="1"/>
  <c r="Q365" i="1"/>
  <c r="P365" i="1"/>
  <c r="R364" i="1"/>
  <c r="Q364" i="1"/>
  <c r="P364" i="1"/>
  <c r="R363" i="1"/>
  <c r="Q363" i="1"/>
  <c r="P363" i="1"/>
  <c r="R362" i="1"/>
  <c r="Q362" i="1"/>
  <c r="P362" i="1"/>
  <c r="R361" i="1"/>
  <c r="Q361" i="1"/>
  <c r="P361" i="1"/>
  <c r="R360" i="1"/>
  <c r="Q360" i="1"/>
  <c r="P360" i="1"/>
  <c r="R359" i="1"/>
  <c r="Q359" i="1"/>
  <c r="P359" i="1"/>
  <c r="R358" i="1"/>
  <c r="Q358" i="1"/>
  <c r="P358" i="1"/>
  <c r="R357" i="1"/>
  <c r="Q357" i="1"/>
  <c r="P357" i="1"/>
  <c r="R356" i="1"/>
  <c r="Q356" i="1"/>
  <c r="P356" i="1"/>
  <c r="R355" i="1"/>
  <c r="Q355" i="1"/>
  <c r="P355" i="1"/>
  <c r="R354" i="1"/>
  <c r="Q354" i="1"/>
  <c r="P354" i="1"/>
  <c r="R353" i="1"/>
  <c r="Q353" i="1"/>
  <c r="P353" i="1"/>
  <c r="R352" i="1"/>
  <c r="Q352" i="1"/>
  <c r="P352" i="1"/>
  <c r="R351" i="1"/>
  <c r="Q351" i="1"/>
  <c r="P351" i="1"/>
  <c r="R350" i="1"/>
  <c r="Q350" i="1"/>
  <c r="P350" i="1"/>
  <c r="R349" i="1"/>
  <c r="Q349" i="1"/>
  <c r="P349" i="1"/>
  <c r="R348" i="1"/>
  <c r="Q348" i="1"/>
  <c r="P348" i="1"/>
  <c r="R347" i="1"/>
  <c r="Q347" i="1"/>
  <c r="P347" i="1"/>
  <c r="R346" i="1"/>
  <c r="Q346" i="1"/>
  <c r="P346" i="1"/>
  <c r="R345" i="1"/>
  <c r="Q345" i="1"/>
  <c r="P345" i="1"/>
  <c r="R344" i="1"/>
  <c r="Q344" i="1"/>
  <c r="P344" i="1"/>
  <c r="R343" i="1"/>
  <c r="Q343" i="1"/>
  <c r="P343" i="1"/>
  <c r="R342" i="1"/>
  <c r="Q342" i="1"/>
  <c r="P342" i="1"/>
  <c r="R341" i="1"/>
  <c r="Q341" i="1"/>
  <c r="P341" i="1"/>
  <c r="R340" i="1"/>
  <c r="Q340" i="1"/>
  <c r="P340" i="1"/>
  <c r="R339" i="1"/>
  <c r="Q339" i="1"/>
  <c r="P339" i="1"/>
  <c r="R338" i="1"/>
  <c r="Q338" i="1"/>
  <c r="P338" i="1"/>
  <c r="R337" i="1"/>
  <c r="Q337" i="1"/>
  <c r="P337" i="1"/>
  <c r="R336" i="1"/>
  <c r="Q336" i="1"/>
  <c r="P336" i="1"/>
  <c r="R335" i="1"/>
  <c r="Q335" i="1"/>
  <c r="P335" i="1"/>
  <c r="R334" i="1"/>
  <c r="Q334" i="1"/>
  <c r="P334" i="1"/>
  <c r="R333" i="1"/>
  <c r="Q333" i="1"/>
  <c r="P333" i="1"/>
  <c r="R332" i="1"/>
  <c r="Q332" i="1"/>
  <c r="P332" i="1"/>
  <c r="R331" i="1"/>
  <c r="Q331" i="1"/>
  <c r="P331" i="1"/>
  <c r="R330" i="1"/>
  <c r="Q330" i="1"/>
  <c r="P330" i="1"/>
  <c r="R329" i="1"/>
  <c r="Q329" i="1"/>
  <c r="P329" i="1"/>
  <c r="R328" i="1"/>
  <c r="Q328" i="1"/>
  <c r="P328" i="1"/>
  <c r="R327" i="1"/>
  <c r="Q327" i="1"/>
  <c r="P327" i="1"/>
  <c r="R326" i="1"/>
  <c r="Q326" i="1"/>
  <c r="P326" i="1"/>
  <c r="R325" i="1"/>
  <c r="Q325" i="1"/>
  <c r="P325" i="1"/>
  <c r="R324" i="1"/>
  <c r="Q324" i="1"/>
  <c r="P324" i="1"/>
  <c r="R323" i="1"/>
  <c r="Q323" i="1"/>
  <c r="P323" i="1"/>
  <c r="R322" i="1"/>
  <c r="Q322" i="1"/>
  <c r="P322" i="1"/>
  <c r="R321" i="1"/>
  <c r="Q321" i="1"/>
  <c r="P321" i="1"/>
  <c r="R320" i="1"/>
  <c r="Q320" i="1"/>
  <c r="P320" i="1"/>
  <c r="R319" i="1"/>
  <c r="Q319" i="1"/>
  <c r="P319" i="1"/>
  <c r="R318" i="1"/>
  <c r="Q318" i="1"/>
  <c r="P318" i="1"/>
  <c r="R317" i="1"/>
  <c r="Q317" i="1"/>
  <c r="P317" i="1"/>
  <c r="R316" i="1"/>
  <c r="Q316" i="1"/>
  <c r="P316" i="1"/>
  <c r="R315" i="1"/>
  <c r="Q315" i="1"/>
  <c r="P315" i="1"/>
  <c r="R314" i="1"/>
  <c r="Q314" i="1"/>
  <c r="P314" i="1"/>
  <c r="R313" i="1"/>
  <c r="Q313" i="1"/>
  <c r="P313" i="1"/>
  <c r="R312" i="1"/>
  <c r="Q312" i="1"/>
  <c r="P312" i="1"/>
  <c r="R311" i="1"/>
  <c r="Q311" i="1"/>
  <c r="P311" i="1"/>
  <c r="R310" i="1"/>
  <c r="Q310" i="1"/>
  <c r="P310" i="1"/>
  <c r="R309" i="1"/>
  <c r="Q309" i="1"/>
  <c r="P309" i="1"/>
  <c r="R308" i="1"/>
  <c r="Q308" i="1"/>
  <c r="P308" i="1"/>
  <c r="R307" i="1"/>
  <c r="Q307" i="1"/>
  <c r="P307" i="1"/>
  <c r="R306" i="1"/>
  <c r="Q306" i="1"/>
  <c r="P306" i="1"/>
  <c r="R305" i="1"/>
  <c r="Q305" i="1"/>
  <c r="P305" i="1"/>
  <c r="R304" i="1"/>
  <c r="Q304" i="1"/>
  <c r="P304" i="1"/>
  <c r="R303" i="1"/>
  <c r="Q303" i="1"/>
  <c r="P303" i="1"/>
  <c r="R302" i="1"/>
  <c r="P302" i="1"/>
  <c r="R301" i="1"/>
  <c r="Q301" i="1"/>
  <c r="P301" i="1"/>
  <c r="R300" i="1"/>
  <c r="Q300" i="1"/>
  <c r="P300" i="1"/>
  <c r="R299" i="1"/>
  <c r="Q299" i="1"/>
  <c r="P299" i="1"/>
  <c r="R298" i="1"/>
  <c r="Q298" i="1"/>
  <c r="P298" i="1"/>
  <c r="R297" i="1"/>
  <c r="Q297" i="1"/>
  <c r="P297" i="1"/>
  <c r="R296" i="1"/>
  <c r="Q296" i="1"/>
  <c r="P296" i="1"/>
  <c r="R295" i="1"/>
  <c r="Q295" i="1"/>
  <c r="P295" i="1"/>
  <c r="R294" i="1"/>
  <c r="Q294" i="1"/>
  <c r="P294" i="1"/>
  <c r="R293" i="1"/>
  <c r="Q293" i="1"/>
  <c r="P293" i="1"/>
  <c r="R292" i="1"/>
  <c r="Q292" i="1"/>
  <c r="P292" i="1"/>
  <c r="R291" i="1"/>
  <c r="Q291" i="1"/>
  <c r="P291" i="1"/>
  <c r="R290" i="1"/>
  <c r="Q290" i="1"/>
  <c r="P290" i="1"/>
  <c r="R289" i="1"/>
  <c r="Q289" i="1"/>
  <c r="P289" i="1"/>
  <c r="R288" i="1"/>
  <c r="Q288" i="1"/>
  <c r="P288" i="1"/>
  <c r="R287" i="1"/>
  <c r="Q287" i="1"/>
  <c r="P287" i="1"/>
  <c r="R286" i="1"/>
  <c r="Q286" i="1"/>
  <c r="P286" i="1"/>
  <c r="R285" i="1"/>
  <c r="Q285" i="1"/>
  <c r="P285" i="1"/>
  <c r="R284" i="1"/>
  <c r="Q284" i="1"/>
  <c r="P284" i="1"/>
  <c r="R283" i="1"/>
  <c r="Q283" i="1"/>
  <c r="P283" i="1"/>
  <c r="R282" i="1"/>
  <c r="Q282" i="1"/>
  <c r="P282" i="1"/>
  <c r="R281" i="1"/>
  <c r="Q281" i="1"/>
  <c r="P281" i="1"/>
  <c r="R280" i="1"/>
  <c r="Q280" i="1"/>
  <c r="P280" i="1"/>
  <c r="R279" i="1"/>
  <c r="Q279" i="1"/>
  <c r="P279" i="1"/>
  <c r="R278" i="1"/>
  <c r="Q278" i="1"/>
  <c r="P278" i="1"/>
  <c r="R277" i="1"/>
  <c r="Q277" i="1"/>
  <c r="P277" i="1"/>
  <c r="R276" i="1"/>
  <c r="Q276" i="1"/>
  <c r="P276" i="1"/>
  <c r="R275" i="1"/>
  <c r="Q275" i="1"/>
  <c r="P275" i="1"/>
  <c r="R274" i="1"/>
  <c r="Q274" i="1"/>
  <c r="P274" i="1"/>
  <c r="R273" i="1"/>
  <c r="Q273" i="1"/>
  <c r="P273" i="1"/>
  <c r="R272" i="1"/>
  <c r="Q272" i="1"/>
  <c r="P272" i="1"/>
  <c r="R271" i="1"/>
  <c r="Q271" i="1"/>
  <c r="P271" i="1"/>
  <c r="R270" i="1"/>
  <c r="Q270" i="1"/>
  <c r="P270" i="1"/>
  <c r="R269" i="1"/>
  <c r="Q269" i="1"/>
  <c r="P269" i="1"/>
  <c r="R268" i="1"/>
  <c r="Q268" i="1"/>
  <c r="P268" i="1"/>
  <c r="R267" i="1"/>
  <c r="Q267" i="1"/>
  <c r="P267" i="1"/>
  <c r="R266" i="1"/>
  <c r="Q266" i="1"/>
  <c r="P266" i="1"/>
  <c r="R265" i="1"/>
  <c r="Q265" i="1"/>
  <c r="P265" i="1"/>
  <c r="R264" i="1"/>
  <c r="Q264" i="1"/>
  <c r="P264" i="1"/>
  <c r="R263" i="1"/>
  <c r="Q263" i="1"/>
  <c r="P263" i="1"/>
  <c r="R262" i="1"/>
  <c r="Q262" i="1"/>
  <c r="P262" i="1"/>
  <c r="R261" i="1"/>
  <c r="Q261" i="1"/>
  <c r="P261" i="1"/>
  <c r="R260" i="1"/>
  <c r="Q260" i="1"/>
  <c r="P260" i="1"/>
  <c r="R259" i="1"/>
  <c r="Q259" i="1"/>
  <c r="P259" i="1"/>
  <c r="R258" i="1"/>
  <c r="Q258" i="1"/>
  <c r="P258" i="1"/>
  <c r="R257" i="1"/>
  <c r="Q257" i="1"/>
  <c r="P257" i="1"/>
  <c r="R256" i="1"/>
  <c r="Q256" i="1"/>
  <c r="P256" i="1"/>
  <c r="R255" i="1"/>
  <c r="Q255" i="1"/>
  <c r="P255" i="1"/>
  <c r="R254" i="1"/>
  <c r="Q254" i="1"/>
  <c r="P254" i="1"/>
  <c r="R253" i="1"/>
  <c r="Q253" i="1"/>
  <c r="P253" i="1"/>
  <c r="R252" i="1"/>
  <c r="Q252" i="1"/>
  <c r="P252" i="1"/>
  <c r="R251" i="1"/>
  <c r="Q251" i="1"/>
  <c r="P251" i="1"/>
  <c r="R250" i="1"/>
  <c r="Q250" i="1"/>
  <c r="P250" i="1"/>
  <c r="R249" i="1"/>
  <c r="Q249" i="1"/>
  <c r="P249" i="1"/>
  <c r="R248" i="1"/>
  <c r="Q248" i="1"/>
  <c r="P248" i="1"/>
  <c r="R247" i="1"/>
  <c r="Q247" i="1"/>
  <c r="P247" i="1"/>
  <c r="R246" i="1"/>
  <c r="Q246" i="1"/>
  <c r="P246" i="1"/>
  <c r="R245" i="1"/>
  <c r="Q245" i="1"/>
  <c r="P245" i="1"/>
  <c r="R244" i="1"/>
  <c r="Q244" i="1"/>
  <c r="P244" i="1"/>
  <c r="R243" i="1"/>
  <c r="Q243" i="1"/>
  <c r="P243" i="1"/>
  <c r="R242" i="1"/>
  <c r="Q242" i="1"/>
  <c r="P242" i="1"/>
  <c r="R241" i="1"/>
  <c r="Q241" i="1"/>
  <c r="P241" i="1"/>
  <c r="R240" i="1"/>
  <c r="Q240" i="1"/>
  <c r="P240" i="1"/>
  <c r="R239" i="1"/>
  <c r="Q239" i="1"/>
  <c r="P239" i="1"/>
  <c r="R238" i="1"/>
  <c r="Q238" i="1"/>
  <c r="P238" i="1"/>
  <c r="R237" i="1"/>
  <c r="Q237" i="1"/>
  <c r="P237" i="1"/>
  <c r="R236" i="1"/>
  <c r="Q236" i="1"/>
  <c r="P236" i="1"/>
  <c r="R235" i="1"/>
  <c r="Q235" i="1"/>
  <c r="P235" i="1"/>
  <c r="R234" i="1"/>
  <c r="Q234" i="1"/>
  <c r="P234" i="1"/>
  <c r="R233" i="1"/>
  <c r="Q233" i="1"/>
  <c r="P233" i="1"/>
  <c r="R232" i="1"/>
  <c r="Q232" i="1"/>
  <c r="P232" i="1"/>
  <c r="R231" i="1"/>
  <c r="Q231" i="1"/>
  <c r="P231" i="1"/>
  <c r="R230" i="1"/>
  <c r="Q230" i="1"/>
  <c r="P230" i="1"/>
  <c r="R229" i="1"/>
  <c r="Q229" i="1"/>
  <c r="P229" i="1"/>
  <c r="R228" i="1"/>
  <c r="Q228" i="1"/>
  <c r="P228" i="1"/>
  <c r="R227" i="1"/>
  <c r="Q227" i="1"/>
  <c r="P227" i="1"/>
  <c r="R226" i="1"/>
  <c r="Q226" i="1"/>
  <c r="P226" i="1"/>
  <c r="R225" i="1"/>
  <c r="Q225" i="1"/>
  <c r="P225" i="1"/>
  <c r="R224" i="1"/>
  <c r="Q224" i="1"/>
  <c r="P224" i="1"/>
  <c r="R223" i="1"/>
  <c r="Q223" i="1"/>
  <c r="P223" i="1"/>
  <c r="R222" i="1"/>
  <c r="Q222" i="1"/>
  <c r="P222" i="1"/>
  <c r="R221" i="1"/>
  <c r="Q221" i="1"/>
  <c r="P221" i="1"/>
  <c r="R220" i="1"/>
  <c r="Q220" i="1"/>
  <c r="P220" i="1"/>
  <c r="R219" i="1"/>
  <c r="Q219" i="1"/>
  <c r="P219" i="1"/>
  <c r="R218" i="1"/>
  <c r="Q218" i="1"/>
  <c r="P218" i="1"/>
  <c r="R217" i="1"/>
  <c r="Q217" i="1"/>
  <c r="P217" i="1"/>
  <c r="R216" i="1"/>
  <c r="Q216" i="1"/>
  <c r="P216" i="1"/>
  <c r="R215" i="1"/>
  <c r="Q215" i="1"/>
  <c r="P215" i="1"/>
  <c r="R214" i="1"/>
  <c r="Q214" i="1"/>
  <c r="P214" i="1"/>
  <c r="R213" i="1"/>
  <c r="Q213" i="1"/>
  <c r="P213" i="1"/>
  <c r="R212" i="1"/>
  <c r="Q212" i="1"/>
  <c r="P212" i="1"/>
  <c r="R211" i="1"/>
  <c r="Q211" i="1"/>
  <c r="P211" i="1"/>
  <c r="R210" i="1"/>
  <c r="Q210" i="1"/>
  <c r="P210" i="1"/>
  <c r="R209" i="1"/>
  <c r="Q209" i="1"/>
  <c r="P209" i="1"/>
  <c r="R208" i="1"/>
  <c r="Q208" i="1"/>
  <c r="P208" i="1"/>
  <c r="R207" i="1"/>
  <c r="Q207" i="1"/>
  <c r="P207" i="1"/>
  <c r="R206" i="1"/>
  <c r="Q206" i="1"/>
  <c r="P206" i="1"/>
  <c r="R205" i="1"/>
  <c r="Q205" i="1"/>
  <c r="P205" i="1"/>
  <c r="R204" i="1"/>
  <c r="Q204" i="1"/>
  <c r="P204" i="1"/>
  <c r="R203" i="1"/>
  <c r="Q203" i="1"/>
  <c r="P203" i="1"/>
  <c r="R202" i="1"/>
  <c r="Q202" i="1"/>
  <c r="P202" i="1"/>
  <c r="R201" i="1"/>
  <c r="Q201" i="1"/>
  <c r="P201" i="1"/>
  <c r="R200" i="1"/>
  <c r="Q200" i="1"/>
  <c r="P200" i="1"/>
  <c r="R199" i="1"/>
  <c r="Q199" i="1"/>
  <c r="P199" i="1"/>
  <c r="R198" i="1"/>
  <c r="Q198" i="1"/>
  <c r="P198" i="1"/>
  <c r="R197" i="1"/>
  <c r="Q197" i="1"/>
  <c r="P197" i="1"/>
  <c r="R196" i="1"/>
  <c r="Q196" i="1"/>
  <c r="P196" i="1"/>
  <c r="R195" i="1"/>
  <c r="Q195" i="1"/>
  <c r="P195" i="1"/>
  <c r="R194" i="1"/>
  <c r="Q194" i="1"/>
  <c r="P194" i="1"/>
  <c r="R193" i="1"/>
  <c r="Q193" i="1"/>
  <c r="P193" i="1"/>
  <c r="R192" i="1"/>
  <c r="Q192" i="1"/>
  <c r="P192" i="1"/>
  <c r="R191" i="1"/>
  <c r="Q191" i="1"/>
  <c r="P191" i="1"/>
  <c r="R190" i="1"/>
  <c r="Q190" i="1"/>
  <c r="P190" i="1"/>
  <c r="R189" i="1"/>
  <c r="Q189" i="1"/>
  <c r="P189" i="1"/>
  <c r="R188" i="1"/>
  <c r="Q188" i="1"/>
  <c r="P188" i="1"/>
  <c r="R187" i="1"/>
  <c r="Q187" i="1"/>
  <c r="P187" i="1"/>
  <c r="R186" i="1"/>
  <c r="Q186" i="1"/>
  <c r="P186" i="1"/>
  <c r="R185" i="1"/>
  <c r="Q185" i="1"/>
  <c r="P185" i="1"/>
  <c r="R184" i="1"/>
  <c r="Q184" i="1"/>
  <c r="P184" i="1"/>
  <c r="R183" i="1"/>
  <c r="Q183" i="1"/>
  <c r="P183" i="1"/>
  <c r="R182" i="1"/>
  <c r="Q182" i="1"/>
  <c r="P182" i="1"/>
  <c r="R181" i="1"/>
  <c r="Q181" i="1"/>
  <c r="P181" i="1"/>
  <c r="R180" i="1"/>
  <c r="Q180" i="1"/>
  <c r="P180" i="1"/>
  <c r="R179" i="1"/>
  <c r="Q179" i="1"/>
  <c r="P179" i="1"/>
  <c r="R178" i="1"/>
  <c r="Q178" i="1"/>
  <c r="P178" i="1"/>
  <c r="R177" i="1"/>
  <c r="Q177" i="1"/>
  <c r="P177" i="1"/>
  <c r="R176" i="1"/>
  <c r="Q176" i="1"/>
  <c r="P176" i="1"/>
  <c r="R175" i="1"/>
  <c r="Q175" i="1"/>
  <c r="P175" i="1"/>
  <c r="R174" i="1"/>
  <c r="Q174" i="1"/>
  <c r="P174" i="1"/>
  <c r="R173" i="1"/>
  <c r="Q173" i="1"/>
  <c r="P173" i="1"/>
  <c r="R172" i="1"/>
  <c r="Q172" i="1"/>
  <c r="P172" i="1"/>
  <c r="R171" i="1"/>
  <c r="Q171" i="1"/>
  <c r="P171" i="1"/>
  <c r="R170" i="1"/>
  <c r="Q170" i="1"/>
  <c r="P170" i="1"/>
  <c r="R169" i="1"/>
  <c r="Q169" i="1"/>
  <c r="P169" i="1"/>
  <c r="R168" i="1"/>
  <c r="Q168" i="1"/>
  <c r="P168" i="1"/>
  <c r="R167" i="1"/>
  <c r="Q167" i="1"/>
  <c r="P167" i="1"/>
  <c r="R166" i="1"/>
  <c r="Q166" i="1"/>
  <c r="P166" i="1"/>
  <c r="R165" i="1"/>
  <c r="Q165" i="1"/>
  <c r="P165" i="1"/>
  <c r="R164" i="1"/>
  <c r="Q164" i="1"/>
  <c r="P164" i="1"/>
  <c r="R163" i="1"/>
  <c r="Q163" i="1"/>
  <c r="P163" i="1"/>
  <c r="R162" i="1"/>
  <c r="Q162" i="1"/>
  <c r="P162" i="1"/>
  <c r="R161" i="1"/>
  <c r="Q161" i="1"/>
  <c r="P161" i="1"/>
  <c r="R160" i="1"/>
  <c r="Q160" i="1"/>
  <c r="P160" i="1"/>
  <c r="R159" i="1"/>
  <c r="Q159" i="1"/>
  <c r="P159" i="1"/>
  <c r="R158" i="1"/>
  <c r="Q158" i="1"/>
  <c r="P158" i="1"/>
  <c r="R157" i="1"/>
  <c r="Q157" i="1"/>
  <c r="P157" i="1"/>
  <c r="R156" i="1"/>
  <c r="Q156" i="1"/>
  <c r="P156" i="1"/>
  <c r="R155" i="1"/>
  <c r="Q155" i="1"/>
  <c r="P155" i="1"/>
  <c r="R154" i="1"/>
  <c r="Q154" i="1"/>
  <c r="P154" i="1"/>
  <c r="R153" i="1"/>
  <c r="Q153" i="1"/>
  <c r="P153" i="1"/>
  <c r="R152" i="1"/>
  <c r="Q152" i="1"/>
  <c r="P152" i="1"/>
  <c r="R151" i="1"/>
  <c r="Q151" i="1"/>
  <c r="P151" i="1"/>
  <c r="R150" i="1"/>
  <c r="Q150" i="1"/>
  <c r="P150" i="1"/>
  <c r="R149" i="1"/>
  <c r="Q149" i="1"/>
  <c r="P149" i="1"/>
  <c r="R148" i="1"/>
  <c r="Q148" i="1"/>
  <c r="P148" i="1"/>
  <c r="R147" i="1"/>
  <c r="Q147" i="1"/>
  <c r="P147" i="1"/>
  <c r="R146" i="1"/>
  <c r="Q146" i="1"/>
  <c r="P146" i="1"/>
  <c r="R145" i="1"/>
  <c r="Q145" i="1"/>
  <c r="P145" i="1"/>
  <c r="R144" i="1"/>
  <c r="Q144" i="1"/>
  <c r="P144" i="1"/>
  <c r="R143" i="1"/>
  <c r="Q143" i="1"/>
  <c r="P143" i="1"/>
  <c r="R142" i="1"/>
  <c r="Q142" i="1"/>
  <c r="P142" i="1"/>
  <c r="R141" i="1"/>
  <c r="Q141" i="1"/>
  <c r="P141" i="1"/>
  <c r="R140" i="1"/>
  <c r="Q140" i="1"/>
  <c r="P140" i="1"/>
  <c r="R139" i="1"/>
  <c r="Q139" i="1"/>
  <c r="P139" i="1"/>
  <c r="R138" i="1"/>
  <c r="Q138" i="1"/>
  <c r="P138" i="1"/>
  <c r="R137" i="1"/>
  <c r="Q137" i="1"/>
  <c r="P137" i="1"/>
  <c r="R136" i="1"/>
  <c r="Q136" i="1"/>
  <c r="P136" i="1"/>
  <c r="R135" i="1"/>
  <c r="Q135" i="1"/>
  <c r="P135" i="1"/>
  <c r="R134" i="1"/>
  <c r="Q134" i="1"/>
  <c r="P134" i="1"/>
  <c r="R133" i="1"/>
  <c r="Q133" i="1"/>
  <c r="P133" i="1"/>
  <c r="R132" i="1"/>
  <c r="Q132" i="1"/>
  <c r="P132" i="1"/>
  <c r="R131" i="1"/>
  <c r="Q131" i="1"/>
  <c r="P131" i="1"/>
  <c r="R130" i="1"/>
  <c r="Q130" i="1"/>
  <c r="P130" i="1"/>
  <c r="R129" i="1"/>
  <c r="Q129" i="1"/>
  <c r="P129" i="1"/>
  <c r="R128" i="1"/>
  <c r="Q128" i="1"/>
  <c r="P128" i="1"/>
  <c r="R127" i="1"/>
  <c r="Q127" i="1"/>
  <c r="P127" i="1"/>
  <c r="R126" i="1"/>
  <c r="Q126" i="1"/>
  <c r="P126" i="1"/>
  <c r="R125" i="1"/>
  <c r="Q125" i="1"/>
  <c r="P125" i="1"/>
  <c r="R124" i="1"/>
  <c r="Q124" i="1"/>
  <c r="P124" i="1"/>
  <c r="R123" i="1"/>
  <c r="Q123" i="1"/>
  <c r="P123" i="1"/>
  <c r="R122" i="1"/>
  <c r="Q122" i="1"/>
  <c r="P122" i="1"/>
  <c r="R121" i="1"/>
  <c r="Q121" i="1"/>
  <c r="P121" i="1"/>
  <c r="R120" i="1"/>
  <c r="Q120" i="1"/>
  <c r="P120" i="1"/>
  <c r="R119" i="1"/>
  <c r="Q119" i="1"/>
  <c r="P119" i="1"/>
  <c r="R118" i="1"/>
  <c r="Q118" i="1"/>
  <c r="P118" i="1"/>
  <c r="R117" i="1"/>
  <c r="Q117" i="1"/>
  <c r="P117" i="1"/>
  <c r="R116" i="1"/>
  <c r="Q116" i="1"/>
  <c r="P116" i="1"/>
  <c r="R115" i="1"/>
  <c r="Q115" i="1"/>
  <c r="P115" i="1"/>
  <c r="R114" i="1"/>
  <c r="Q114" i="1"/>
  <c r="P114" i="1"/>
  <c r="R113" i="1"/>
  <c r="Q113" i="1"/>
  <c r="P113" i="1"/>
  <c r="R112" i="1"/>
  <c r="Q112" i="1"/>
  <c r="P112" i="1"/>
  <c r="R111" i="1"/>
  <c r="Q111" i="1"/>
  <c r="P111" i="1"/>
  <c r="R110" i="1"/>
  <c r="Q110" i="1"/>
  <c r="P110" i="1"/>
  <c r="R109" i="1"/>
  <c r="Q109" i="1"/>
  <c r="P109" i="1"/>
  <c r="R108" i="1"/>
  <c r="Q108" i="1"/>
  <c r="P108" i="1"/>
  <c r="R107" i="1"/>
  <c r="Q107" i="1"/>
  <c r="P107" i="1"/>
  <c r="R106" i="1"/>
  <c r="Q106" i="1"/>
  <c r="P106" i="1"/>
  <c r="R105" i="1"/>
  <c r="Q105" i="1"/>
  <c r="P105" i="1"/>
  <c r="R104" i="1"/>
  <c r="Q104" i="1"/>
  <c r="P104" i="1"/>
  <c r="R103" i="1"/>
  <c r="Q103" i="1"/>
  <c r="P103" i="1"/>
  <c r="R102" i="1"/>
  <c r="Q102" i="1"/>
  <c r="P102" i="1"/>
  <c r="R101" i="1"/>
  <c r="Q101" i="1"/>
  <c r="P101" i="1"/>
  <c r="R100" i="1"/>
  <c r="Q100" i="1"/>
  <c r="P100" i="1"/>
  <c r="R99" i="1"/>
  <c r="Q99" i="1"/>
  <c r="P99" i="1"/>
  <c r="R98" i="1"/>
  <c r="Q98" i="1"/>
  <c r="P98" i="1"/>
  <c r="R97" i="1"/>
  <c r="Q97" i="1"/>
  <c r="P97" i="1"/>
  <c r="R96" i="1"/>
  <c r="Q96" i="1"/>
  <c r="P96" i="1"/>
  <c r="R95" i="1"/>
  <c r="Q95" i="1"/>
  <c r="P95" i="1"/>
  <c r="R94" i="1"/>
  <c r="Q94" i="1"/>
  <c r="P94" i="1"/>
  <c r="R93" i="1"/>
  <c r="Q93" i="1"/>
  <c r="P93" i="1"/>
  <c r="R92" i="1"/>
  <c r="Q92" i="1"/>
  <c r="P92" i="1"/>
  <c r="R91" i="1"/>
  <c r="Q91" i="1"/>
  <c r="P91" i="1"/>
  <c r="R90" i="1"/>
  <c r="Q90" i="1"/>
  <c r="P90" i="1"/>
  <c r="R89" i="1"/>
  <c r="Q89" i="1"/>
  <c r="P89" i="1"/>
  <c r="R88" i="1"/>
  <c r="Q88" i="1"/>
  <c r="P88" i="1"/>
  <c r="R87" i="1"/>
  <c r="Q87" i="1"/>
  <c r="P87" i="1"/>
  <c r="R86" i="1"/>
  <c r="Q86" i="1"/>
  <c r="P86" i="1"/>
  <c r="R85" i="1"/>
  <c r="Q85" i="1"/>
  <c r="P85" i="1"/>
  <c r="R84" i="1"/>
  <c r="Q84" i="1"/>
  <c r="P84" i="1"/>
  <c r="R83" i="1"/>
  <c r="Q83" i="1"/>
  <c r="P83" i="1"/>
  <c r="R82" i="1"/>
  <c r="Q82" i="1"/>
  <c r="P82" i="1"/>
  <c r="R81" i="1"/>
  <c r="Q81" i="1"/>
  <c r="P81" i="1"/>
  <c r="R80" i="1"/>
  <c r="Q80" i="1"/>
  <c r="P80" i="1"/>
  <c r="R79" i="1"/>
  <c r="Q79" i="1"/>
  <c r="P79" i="1"/>
  <c r="R78" i="1"/>
  <c r="Q78" i="1"/>
  <c r="P78" i="1"/>
  <c r="R77" i="1"/>
  <c r="Q77" i="1"/>
  <c r="P77" i="1"/>
  <c r="R76" i="1"/>
  <c r="Q76" i="1"/>
  <c r="P76" i="1"/>
  <c r="R75" i="1"/>
  <c r="Q75" i="1"/>
  <c r="P75" i="1"/>
  <c r="R74" i="1"/>
  <c r="Q74" i="1"/>
  <c r="P74" i="1"/>
  <c r="R73" i="1"/>
  <c r="Q73" i="1"/>
  <c r="P73" i="1"/>
  <c r="R72" i="1"/>
  <c r="Q72" i="1"/>
  <c r="P72" i="1"/>
  <c r="R71" i="1"/>
  <c r="Q71" i="1"/>
  <c r="P71" i="1"/>
  <c r="R70" i="1"/>
  <c r="Q70" i="1"/>
  <c r="P70" i="1"/>
  <c r="R69" i="1"/>
  <c r="Q69" i="1"/>
  <c r="P69" i="1"/>
  <c r="R68" i="1"/>
  <c r="Q68" i="1"/>
  <c r="P68" i="1"/>
  <c r="R67" i="1"/>
  <c r="Q67" i="1"/>
  <c r="P67" i="1"/>
  <c r="R66" i="1"/>
  <c r="Q66" i="1"/>
  <c r="P66" i="1"/>
  <c r="R65" i="1"/>
  <c r="Q65" i="1"/>
  <c r="P65" i="1"/>
  <c r="R64" i="1"/>
  <c r="Q64" i="1"/>
  <c r="P64" i="1"/>
  <c r="R63" i="1"/>
  <c r="Q63" i="1"/>
  <c r="P63" i="1"/>
  <c r="R62" i="1"/>
  <c r="Q62" i="1"/>
  <c r="P62" i="1"/>
  <c r="R61" i="1"/>
  <c r="Q61" i="1"/>
  <c r="P61" i="1"/>
  <c r="R60" i="1"/>
  <c r="Q60" i="1"/>
  <c r="P60" i="1"/>
  <c r="R59" i="1"/>
  <c r="Q59" i="1"/>
  <c r="P59" i="1"/>
  <c r="R58" i="1"/>
  <c r="Q58" i="1"/>
  <c r="P58" i="1"/>
  <c r="R57" i="1"/>
  <c r="Q57" i="1"/>
  <c r="P57" i="1"/>
  <c r="R56" i="1"/>
  <c r="Q56" i="1"/>
  <c r="P56" i="1"/>
  <c r="R55" i="1"/>
  <c r="Q55" i="1"/>
  <c r="P55" i="1"/>
  <c r="R54" i="1"/>
  <c r="Q54" i="1"/>
  <c r="P54" i="1"/>
  <c r="R53" i="1"/>
  <c r="Q53" i="1"/>
  <c r="P53" i="1"/>
  <c r="R52" i="1"/>
  <c r="Q52" i="1"/>
  <c r="P52" i="1"/>
  <c r="R51" i="1"/>
  <c r="Q51" i="1"/>
  <c r="P51" i="1"/>
  <c r="R50" i="1"/>
  <c r="Q50" i="1"/>
  <c r="P50" i="1"/>
  <c r="R49" i="1"/>
  <c r="Q49" i="1"/>
  <c r="P49" i="1"/>
  <c r="R48" i="1"/>
  <c r="Q48" i="1"/>
  <c r="P48" i="1"/>
  <c r="R47" i="1"/>
  <c r="Q47" i="1"/>
  <c r="P47" i="1"/>
  <c r="R46" i="1"/>
  <c r="Q46" i="1"/>
  <c r="P46" i="1"/>
  <c r="R45" i="1"/>
  <c r="Q45" i="1"/>
  <c r="P45" i="1"/>
  <c r="R44" i="1"/>
  <c r="Q44" i="1"/>
  <c r="P44" i="1"/>
  <c r="R43" i="1"/>
  <c r="Q43" i="1"/>
  <c r="P43" i="1"/>
  <c r="R42" i="1"/>
  <c r="Q42" i="1"/>
  <c r="P42" i="1"/>
  <c r="R41" i="1"/>
  <c r="Q41" i="1"/>
  <c r="P41" i="1"/>
  <c r="R40" i="1"/>
  <c r="Q40" i="1"/>
  <c r="P40" i="1"/>
  <c r="R39" i="1"/>
  <c r="Q39" i="1"/>
  <c r="P39" i="1"/>
  <c r="R38" i="1"/>
  <c r="Q38" i="1"/>
  <c r="P38" i="1"/>
  <c r="R37" i="1"/>
  <c r="Q37" i="1"/>
  <c r="P37" i="1"/>
  <c r="R36" i="1"/>
  <c r="Q36" i="1"/>
  <c r="P36" i="1"/>
  <c r="R35" i="1"/>
  <c r="Q35" i="1"/>
  <c r="P35" i="1"/>
  <c r="R34" i="1"/>
  <c r="Q34" i="1"/>
  <c r="P34" i="1"/>
  <c r="R33" i="1"/>
  <c r="Q33" i="1"/>
  <c r="P33" i="1"/>
  <c r="R32" i="1"/>
  <c r="Q32" i="1"/>
  <c r="P32" i="1"/>
  <c r="R31" i="1"/>
  <c r="Q31" i="1"/>
  <c r="P31" i="1"/>
  <c r="R30" i="1"/>
  <c r="Q30" i="1"/>
  <c r="P30" i="1"/>
  <c r="R29" i="1"/>
  <c r="Q29" i="1"/>
  <c r="P29" i="1"/>
  <c r="R28" i="1"/>
  <c r="Q28" i="1"/>
  <c r="P28" i="1"/>
  <c r="R27" i="1"/>
  <c r="Q27" i="1"/>
  <c r="P27" i="1"/>
  <c r="R26" i="1"/>
  <c r="Q26" i="1"/>
  <c r="P26" i="1"/>
  <c r="R25" i="1"/>
  <c r="Q25" i="1"/>
  <c r="P25" i="1"/>
  <c r="R24" i="1"/>
  <c r="Q24" i="1"/>
  <c r="P24" i="1"/>
  <c r="R23" i="1"/>
  <c r="Q23" i="1"/>
  <c r="P23" i="1"/>
  <c r="R22" i="1"/>
  <c r="Q22" i="1"/>
  <c r="P22" i="1"/>
  <c r="R21" i="1"/>
  <c r="Q21" i="1"/>
  <c r="P21" i="1"/>
  <c r="R20" i="1"/>
  <c r="Q20" i="1"/>
  <c r="P20" i="1"/>
  <c r="R19" i="1"/>
  <c r="Q19" i="1"/>
  <c r="P19" i="1"/>
  <c r="R18" i="1"/>
  <c r="Q18" i="1"/>
  <c r="P18" i="1"/>
  <c r="R17" i="1"/>
  <c r="Q17" i="1"/>
  <c r="P17" i="1"/>
  <c r="R16" i="1"/>
  <c r="Q16" i="1"/>
  <c r="P16" i="1"/>
  <c r="R15" i="1"/>
  <c r="Q15" i="1"/>
  <c r="P15" i="1"/>
  <c r="R14" i="1"/>
  <c r="Q14" i="1"/>
  <c r="P14" i="1"/>
  <c r="R13" i="1"/>
  <c r="Q13" i="1"/>
  <c r="P13" i="1"/>
  <c r="R12" i="1"/>
  <c r="Q12" i="1"/>
  <c r="P12" i="1"/>
  <c r="R11" i="1"/>
  <c r="Q11" i="1"/>
  <c r="P11" i="1"/>
  <c r="R10" i="1"/>
  <c r="Q10" i="1"/>
  <c r="P10" i="1"/>
  <c r="R9" i="1"/>
  <c r="Q9" i="1"/>
  <c r="P9" i="1"/>
  <c r="R8" i="1"/>
  <c r="Q8" i="1"/>
  <c r="P8" i="1"/>
</calcChain>
</file>

<file path=xl/sharedStrings.xml><?xml version="1.0" encoding="utf-8"?>
<sst xmlns="http://schemas.openxmlformats.org/spreadsheetml/2006/main" count="20" uniqueCount="16">
  <si>
    <t>MONITOREO DE METALES PRECIOSOS: ORO Y PLATA EN PESOS COLOMBIANOS (COP)</t>
  </si>
  <si>
    <t>Fecha</t>
  </si>
  <si>
    <t>Oro (COP/g)</t>
  </si>
  <si>
    <t>Plata (COP/g)</t>
  </si>
  <si>
    <t>ÚLTIMA FECHA</t>
  </si>
  <si>
    <t>ORO (COP/g)</t>
  </si>
  <si>
    <t>PLATA (COP/g)</t>
  </si>
  <si>
    <t>TRM (USD/COP)</t>
  </si>
  <si>
    <t>VAR. DÍA ORO</t>
  </si>
  <si>
    <t>SELECCIÓN DE PERÍODO A GRAFICAR:</t>
  </si>
  <si>
    <t>Nota: Para cambiar el período use A8. Para ver precios exactos al pasar el cursor, abra 'index.html'.</t>
  </si>
  <si>
    <t>Oro (USD/oz)</t>
  </si>
  <si>
    <t>Plata (USD/oz)</t>
  </si>
  <si>
    <t>Var. Oro %</t>
  </si>
  <si>
    <t>Var. Plata %</t>
  </si>
  <si>
    <t>Año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</si>
</sst>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\$\ #,##0.00"/>
  </numFmts>
  <fonts count="11">
    <font>
      <sz val="11"/>
      <color theme="1"/>
      <name val="Calibri"/>
      <family val="2"/>
      <scheme val="minor"/>
    </font>
    <font>
      <b/>
      <sz val="10"/>
      <color rgb="FFFFFFFF"/>
      <name val="Segoe UI"/>
    </font>
    <font>
      <sz val="10"/>
      <name val="Segoe UI"/>
    </font>
    <font>
      <b/>
      <sz val="10"/>
      <name val="Segoe UI"/>
    </font>
    <font>
      <b/>
      <sz val="13"/>
      <color rgb="FFFFFFFF"/>
      <name val="Segoe UI"/>
    </font>
    <font>
      <b/>
      <sz val="9"/>
      <color rgb="FF64748B"/>
      <name val="Segoe UI"/>
    </font>
    <font>
      <b/>
      <sz val="15"/>
      <color rgb="FF1E293B"/>
      <name val="Segoe UI"/>
    </font>
    <font>
      <b/>
      <sz val="10"/>
      <color rgb="FF1E293B"/>
      <name val="Segoe UI"/>
    </font>
    <font>
      <b/>
      <sz val="11"/>
      <color rgb="FF0F172A"/>
      <name val="Segoe UI"/>
    </font>
    <font>
      <sz val="8"/>
      <color rgb="FF94A3B8"/>
      <name val="Segoe UI"/>
    </font>
    <font>
      <i/>
      <sz val="8"/>
      <color rgb="FF64748B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FEF08A"/>
        <bgColor rgb="FFFEF08A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xfId="0"/>
    <xf numFmtId="164" fontId="0" fillId="0" borderId="0" xfId="0" applyNumberFormat="1"/>
    <xf numFmtId="164" fontId="9" fillId="0" borderId="0" xfId="0" applyNumberFormat="1" applyFont="1"/>
    <xf numFmtId="0" fontId="9" fillId="0" borderId="0" xfId="0" applyFont="1"/>
    <xf numFmtId="0" fontId="10" fillId="0" borderId="0" xfId="0" applyFont="1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  <xf numFmtId="10" fontId="2" fillId="0" borderId="1" xfId="0" applyNumberFormat="1" applyFont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10" fontId="2" fillId="3" borderId="1" xfId="0" applyNumberFormat="1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0" xfId="0"/>
    <xf numFmtId="0" fontId="7" fillId="0" borderId="0" xfId="0" applyFont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0" fontId="6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s-CO"/>
              <a:t>Evolución del Precio del ORO (COP / Gramo)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'Dashboard y Gráficos'!$Q$1</c:f>
              <c:strCache>
                <c:ptCount val="1"/>
                <c:pt idx="0">
                  <c:v>Oro (COP/g)</c:v>
                </c:pt>
              </c:strCache>
            </c:strRef>
          </c:tx>
          <c:spPr>
            <a:ln w="22000">
              <a:solidFill>
                <a:srgbClr val="D97706"/>
              </a:solidFill>
              <a:prstDash val="solid"/>
            </a:ln>
          </c:spPr>
          <c:marker>
            <c:symbol val="circle"/>
            <c:size val="3"/>
            <c:spPr>
              <a:ln>
                <a:prstDash val="solid"/>
              </a:ln>
            </c:spPr>
          </c:marker>
          <c:cat>
            <c:numRef>
              <c:f>'Dashboard y Gráficos'!$P$2:$P$463</c:f>
              <c:numCache>
                <c:formatCode>yyyy\-mm\-dd</c:formatCode>
                <c:ptCount val="462"/>
                <c:pt idx="0">
                  <c:v>46022</c:v>
                </c:pt>
                <c:pt idx="1">
                  <c:v>46024</c:v>
                </c:pt>
                <c:pt idx="2">
                  <c:v>46027</c:v>
                </c:pt>
                <c:pt idx="3">
                  <c:v>46028</c:v>
                </c:pt>
                <c:pt idx="4">
                  <c:v>46029</c:v>
                </c:pt>
                <c:pt idx="5">
                  <c:v>46030</c:v>
                </c:pt>
                <c:pt idx="6">
                  <c:v>46031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  <c:pt idx="33">
                  <c:v>46070</c:v>
                </c:pt>
                <c:pt idx="34">
                  <c:v>46071</c:v>
                </c:pt>
                <c:pt idx="35">
                  <c:v>46072</c:v>
                </c:pt>
                <c:pt idx="36">
                  <c:v>46073</c:v>
                </c:pt>
                <c:pt idx="37">
                  <c:v>46076</c:v>
                </c:pt>
                <c:pt idx="38">
                  <c:v>46077</c:v>
                </c:pt>
                <c:pt idx="39">
                  <c:v>46078</c:v>
                </c:pt>
                <c:pt idx="40">
                  <c:v>46079</c:v>
                </c:pt>
                <c:pt idx="41">
                  <c:v>46080</c:v>
                </c:pt>
                <c:pt idx="42">
                  <c:v>46083</c:v>
                </c:pt>
                <c:pt idx="43">
                  <c:v>46084</c:v>
                </c:pt>
                <c:pt idx="44">
                  <c:v>46085</c:v>
                </c:pt>
                <c:pt idx="45">
                  <c:v>46086</c:v>
                </c:pt>
                <c:pt idx="46">
                  <c:v>46087</c:v>
                </c:pt>
                <c:pt idx="47">
                  <c:v>46090</c:v>
                </c:pt>
                <c:pt idx="48">
                  <c:v>46091</c:v>
                </c:pt>
                <c:pt idx="49">
                  <c:v>46092</c:v>
                </c:pt>
                <c:pt idx="50">
                  <c:v>46093</c:v>
                </c:pt>
                <c:pt idx="51">
                  <c:v>46094</c:v>
                </c:pt>
                <c:pt idx="52">
                  <c:v>46097</c:v>
                </c:pt>
                <c:pt idx="53">
                  <c:v>46098</c:v>
                </c:pt>
                <c:pt idx="54">
                  <c:v>46099</c:v>
                </c:pt>
                <c:pt idx="55">
                  <c:v>46100</c:v>
                </c:pt>
                <c:pt idx="56">
                  <c:v>46101</c:v>
                </c:pt>
                <c:pt idx="57">
                  <c:v>46104</c:v>
                </c:pt>
                <c:pt idx="58">
                  <c:v>46105</c:v>
                </c:pt>
                <c:pt idx="59">
                  <c:v>46106</c:v>
                </c:pt>
                <c:pt idx="60">
                  <c:v>46107</c:v>
                </c:pt>
                <c:pt idx="61">
                  <c:v>46108</c:v>
                </c:pt>
                <c:pt idx="62">
                  <c:v>46110</c:v>
                </c:pt>
                <c:pt idx="63">
                  <c:v>46111</c:v>
                </c:pt>
                <c:pt idx="64">
                  <c:v>46112</c:v>
                </c:pt>
                <c:pt idx="65">
                  <c:v>46113</c:v>
                </c:pt>
                <c:pt idx="66">
                  <c:v>46114</c:v>
                </c:pt>
                <c:pt idx="67">
                  <c:v>46117</c:v>
                </c:pt>
                <c:pt idx="68">
                  <c:v>46118</c:v>
                </c:pt>
                <c:pt idx="69">
                  <c:v>46119</c:v>
                </c:pt>
                <c:pt idx="70">
                  <c:v>46120</c:v>
                </c:pt>
                <c:pt idx="71">
                  <c:v>46121</c:v>
                </c:pt>
                <c:pt idx="72">
                  <c:v>46122</c:v>
                </c:pt>
                <c:pt idx="73">
                  <c:v>46124</c:v>
                </c:pt>
                <c:pt idx="74">
                  <c:v>46125</c:v>
                </c:pt>
                <c:pt idx="75">
                  <c:v>46126</c:v>
                </c:pt>
                <c:pt idx="76">
                  <c:v>46127</c:v>
                </c:pt>
                <c:pt idx="77">
                  <c:v>46128</c:v>
                </c:pt>
                <c:pt idx="78">
                  <c:v>46129</c:v>
                </c:pt>
                <c:pt idx="79">
                  <c:v>46131</c:v>
                </c:pt>
                <c:pt idx="80">
                  <c:v>46132</c:v>
                </c:pt>
                <c:pt idx="81">
                  <c:v>46133</c:v>
                </c:pt>
                <c:pt idx="82">
                  <c:v>46134</c:v>
                </c:pt>
                <c:pt idx="83">
                  <c:v>46135</c:v>
                </c:pt>
                <c:pt idx="84">
                  <c:v>46136</c:v>
                </c:pt>
                <c:pt idx="85">
                  <c:v>46138</c:v>
                </c:pt>
                <c:pt idx="86">
                  <c:v>46139</c:v>
                </c:pt>
                <c:pt idx="87">
                  <c:v>46140</c:v>
                </c:pt>
                <c:pt idx="88">
                  <c:v>46141</c:v>
                </c:pt>
                <c:pt idx="89">
                  <c:v>46142</c:v>
                </c:pt>
                <c:pt idx="90">
                  <c:v>46143</c:v>
                </c:pt>
                <c:pt idx="91">
                  <c:v>46145</c:v>
                </c:pt>
                <c:pt idx="92">
                  <c:v>46146</c:v>
                </c:pt>
                <c:pt idx="93">
                  <c:v>46147</c:v>
                </c:pt>
                <c:pt idx="94">
                  <c:v>46148</c:v>
                </c:pt>
                <c:pt idx="95">
                  <c:v>46149</c:v>
                </c:pt>
                <c:pt idx="96">
                  <c:v>46150</c:v>
                </c:pt>
                <c:pt idx="97">
                  <c:v>46152</c:v>
                </c:pt>
                <c:pt idx="98">
                  <c:v>46153</c:v>
                </c:pt>
                <c:pt idx="99">
                  <c:v>46154</c:v>
                </c:pt>
                <c:pt idx="100">
                  <c:v>46155</c:v>
                </c:pt>
                <c:pt idx="101">
                  <c:v>46156</c:v>
                </c:pt>
                <c:pt idx="102">
                  <c:v>46157</c:v>
                </c:pt>
                <c:pt idx="103">
                  <c:v>46159</c:v>
                </c:pt>
                <c:pt idx="104">
                  <c:v>46160</c:v>
                </c:pt>
                <c:pt idx="105">
                  <c:v>46161</c:v>
                </c:pt>
                <c:pt idx="106">
                  <c:v>46162</c:v>
                </c:pt>
                <c:pt idx="107">
                  <c:v>46163</c:v>
                </c:pt>
                <c:pt idx="108">
                  <c:v>46164</c:v>
                </c:pt>
                <c:pt idx="109">
                  <c:v>46166</c:v>
                </c:pt>
                <c:pt idx="110">
                  <c:v>46167</c:v>
                </c:pt>
                <c:pt idx="111">
                  <c:v>46168</c:v>
                </c:pt>
                <c:pt idx="112">
                  <c:v>46169</c:v>
                </c:pt>
                <c:pt idx="113">
                  <c:v>46170</c:v>
                </c:pt>
                <c:pt idx="114">
                  <c:v>46171</c:v>
                </c:pt>
                <c:pt idx="115">
                  <c:v>46173</c:v>
                </c:pt>
                <c:pt idx="116">
                  <c:v>46174</c:v>
                </c:pt>
                <c:pt idx="117">
                  <c:v>46175</c:v>
                </c:pt>
                <c:pt idx="118">
                  <c:v>46176</c:v>
                </c:pt>
                <c:pt idx="119">
                  <c:v>46177</c:v>
                </c:pt>
                <c:pt idx="120">
                  <c:v>46178</c:v>
                </c:pt>
                <c:pt idx="121">
                  <c:v>46180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46187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46194</c:v>
                </c:pt>
                <c:pt idx="133">
                  <c:v>46195</c:v>
                </c:pt>
                <c:pt idx="134">
                  <c:v>46196</c:v>
                </c:pt>
                <c:pt idx="135">
                  <c:v>46197</c:v>
                </c:pt>
                <c:pt idx="136">
                  <c:v>46198</c:v>
                </c:pt>
                <c:pt idx="137">
                  <c:v>46199</c:v>
                </c:pt>
                <c:pt idx="138">
                  <c:v>46201</c:v>
                </c:pt>
                <c:pt idx="139">
                  <c:v>46202</c:v>
                </c:pt>
                <c:pt idx="140">
                  <c:v>46203</c:v>
                </c:pt>
                <c:pt idx="141">
                  <c:v>46204</c:v>
                </c:pt>
                <c:pt idx="142">
                  <c:v>46205</c:v>
                </c:pt>
                <c:pt idx="143">
                  <c:v>46208</c:v>
                </c:pt>
                <c:pt idx="144">
                  <c:v>46209</c:v>
                </c:pt>
                <c:pt idx="145">
                  <c:v>46210</c:v>
                </c:pt>
                <c:pt idx="146">
                  <c:v>46211</c:v>
                </c:pt>
                <c:pt idx="147">
                  <c:v>46212</c:v>
                </c:pt>
                <c:pt idx="148">
                  <c:v>46213</c:v>
                </c:pt>
                <c:pt idx="149">
                  <c:v>46215</c:v>
                </c:pt>
                <c:pt idx="150">
                  <c:v>46216</c:v>
                </c:pt>
                <c:pt idx="151">
                  <c:v>46217</c:v>
                </c:pt>
                <c:pt idx="152">
                  <c:v>46218</c:v>
                </c:pt>
                <c:pt idx="153">
                  <c:v>46219</c:v>
                </c:pt>
                <c:pt idx="154">
                  <c:v>46220</c:v>
                </c:pt>
                <c:pt idx="155">
                  <c:v>46222</c:v>
                </c:pt>
                <c:pt idx="156">
                  <c:v>46223</c:v>
                </c:pt>
                <c:pt idx="157">
                  <c:v>46224</c:v>
                </c:pt>
                <c:pt idx="158">
                  <c:v>46225</c:v>
                </c:pt>
                <c:pt idx="159">
                  <c:v>46226</c:v>
                </c:pt>
                <c:pt idx="160">
                  <c:v>46227</c:v>
                </c:pt>
                <c:pt idx="161">
                  <c:v>46229</c:v>
                </c:pt>
                <c:pt idx="162">
                  <c:v>46230</c:v>
                </c:pt>
                <c:pt idx="163">
                  <c:v>46231</c:v>
                </c:pt>
                <c:pt idx="164">
                  <c:v>46232</c:v>
                </c:pt>
                <c:pt idx="165">
                  <c:v>46233</c:v>
                </c:pt>
                <c:pt idx="166">
                  <c:v>46234</c:v>
                </c:pt>
                <c:pt idx="167">
                  <c:v>46236</c:v>
                </c:pt>
                <c:pt idx="168">
                  <c:v>46237</c:v>
                </c:pt>
                <c:pt idx="169">
                  <c:v>46238</c:v>
                </c:pt>
                <c:pt idx="170">
                  <c:v>46239</c:v>
                </c:pt>
                <c:pt idx="171">
                  <c:v>46240</c:v>
                </c:pt>
                <c:pt idx="172">
                  <c:v>46241</c:v>
                </c:pt>
                <c:pt idx="173">
                  <c:v>46243</c:v>
                </c:pt>
                <c:pt idx="174">
                  <c:v>46244</c:v>
                </c:pt>
                <c:pt idx="175">
                  <c:v>46245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</c:numCache>
            </c:numRef>
          </c:cat>
          <c:val>
            <c:numRef>
              <c:f>'Dashboard y Gráficos'!$Q$2:$Q$463</c:f>
              <c:numCache>
                <c:formatCode>General</c:formatCode>
                <c:ptCount val="462"/>
                <c:pt idx="0">
                  <c:v>520190.53</c:v>
                </c:pt>
                <c:pt idx="1">
                  <c:v>522692.84</c:v>
                </c:pt>
                <c:pt idx="2">
                  <c:v>532272.53</c:v>
                </c:pt>
                <c:pt idx="3">
                  <c:v>540162.93000000005</c:v>
                </c:pt>
                <c:pt idx="4">
                  <c:v>530893.77</c:v>
                </c:pt>
                <c:pt idx="5">
                  <c:v>536586.73</c:v>
                </c:pt>
                <c:pt idx="6">
                  <c:v>536106.41</c:v>
                </c:pt>
                <c:pt idx="7">
                  <c:v>543340.43999999994</c:v>
                </c:pt>
                <c:pt idx="8">
                  <c:v>547933.5</c:v>
                </c:pt>
                <c:pt idx="9">
                  <c:v>548082.38</c:v>
                </c:pt>
                <c:pt idx="10">
                  <c:v>544957.84</c:v>
                </c:pt>
                <c:pt idx="11">
                  <c:v>543481.69999999995</c:v>
                </c:pt>
                <c:pt idx="12">
                  <c:v>538029.35</c:v>
                </c:pt>
                <c:pt idx="13">
                  <c:v>562442.27</c:v>
                </c:pt>
                <c:pt idx="14">
                  <c:v>570849.82999999996</c:v>
                </c:pt>
                <c:pt idx="15">
                  <c:v>579705.48</c:v>
                </c:pt>
                <c:pt idx="16">
                  <c:v>577675.46</c:v>
                </c:pt>
                <c:pt idx="17">
                  <c:v>577077.55000000005</c:v>
                </c:pt>
                <c:pt idx="18">
                  <c:v>601221.42000000004</c:v>
                </c:pt>
                <c:pt idx="19">
                  <c:v>622648.49</c:v>
                </c:pt>
                <c:pt idx="20">
                  <c:v>627297.57999999996</c:v>
                </c:pt>
                <c:pt idx="21">
                  <c:v>553522.76</c:v>
                </c:pt>
                <c:pt idx="22">
                  <c:v>539117.59</c:v>
                </c:pt>
                <c:pt idx="23">
                  <c:v>570692.22</c:v>
                </c:pt>
                <c:pt idx="24">
                  <c:v>576573.18000000005</c:v>
                </c:pt>
                <c:pt idx="25">
                  <c:v>567082.21</c:v>
                </c:pt>
                <c:pt idx="26">
                  <c:v>588768.78</c:v>
                </c:pt>
                <c:pt idx="27">
                  <c:v>593899.47</c:v>
                </c:pt>
                <c:pt idx="28">
                  <c:v>590134.63</c:v>
                </c:pt>
                <c:pt idx="29">
                  <c:v>597390.53</c:v>
                </c:pt>
                <c:pt idx="30">
                  <c:v>580888.93999999994</c:v>
                </c:pt>
                <c:pt idx="31">
                  <c:v>592239.13</c:v>
                </c:pt>
                <c:pt idx="32">
                  <c:v>584219.29</c:v>
                </c:pt>
                <c:pt idx="33">
                  <c:v>573962.34</c:v>
                </c:pt>
                <c:pt idx="34">
                  <c:v>587371.29</c:v>
                </c:pt>
                <c:pt idx="35">
                  <c:v>588447.18000000005</c:v>
                </c:pt>
                <c:pt idx="36">
                  <c:v>601646.17000000004</c:v>
                </c:pt>
                <c:pt idx="37">
                  <c:v>610328.99</c:v>
                </c:pt>
                <c:pt idx="38">
                  <c:v>611986.35</c:v>
                </c:pt>
                <c:pt idx="39">
                  <c:v>621034.01</c:v>
                </c:pt>
                <c:pt idx="40">
                  <c:v>615400.4</c:v>
                </c:pt>
                <c:pt idx="41">
                  <c:v>633019.88</c:v>
                </c:pt>
                <c:pt idx="42">
                  <c:v>632630.5</c:v>
                </c:pt>
                <c:pt idx="43">
                  <c:v>619190.71</c:v>
                </c:pt>
                <c:pt idx="44">
                  <c:v>625756.80000000005</c:v>
                </c:pt>
                <c:pt idx="45">
                  <c:v>612183</c:v>
                </c:pt>
                <c:pt idx="46">
                  <c:v>626807.65</c:v>
                </c:pt>
                <c:pt idx="47">
                  <c:v>607621.68999999994</c:v>
                </c:pt>
                <c:pt idx="48">
                  <c:v>632509.47</c:v>
                </c:pt>
                <c:pt idx="49">
                  <c:v>616209.18999999994</c:v>
                </c:pt>
                <c:pt idx="50">
                  <c:v>609128.24</c:v>
                </c:pt>
                <c:pt idx="51">
                  <c:v>599825.54</c:v>
                </c:pt>
                <c:pt idx="52">
                  <c:v>584217.69999999995</c:v>
                </c:pt>
                <c:pt idx="53">
                  <c:v>595267.93000000005</c:v>
                </c:pt>
                <c:pt idx="54">
                  <c:v>581595.63</c:v>
                </c:pt>
                <c:pt idx="55">
                  <c:v>547926.53</c:v>
                </c:pt>
                <c:pt idx="56">
                  <c:v>542354.72</c:v>
                </c:pt>
                <c:pt idx="57">
                  <c:v>513463.19</c:v>
                </c:pt>
                <c:pt idx="58">
                  <c:v>524684.46</c:v>
                </c:pt>
                <c:pt idx="59">
                  <c:v>541706.48</c:v>
                </c:pt>
                <c:pt idx="60">
                  <c:v>520347.75</c:v>
                </c:pt>
                <c:pt idx="61">
                  <c:v>532529.91</c:v>
                </c:pt>
                <c:pt idx="62">
                  <c:v>530354.92000000004</c:v>
                </c:pt>
                <c:pt idx="63">
                  <c:v>534799.9</c:v>
                </c:pt>
                <c:pt idx="64">
                  <c:v>550153.09</c:v>
                </c:pt>
                <c:pt idx="65">
                  <c:v>564642.09</c:v>
                </c:pt>
                <c:pt idx="66">
                  <c:v>547456.24</c:v>
                </c:pt>
                <c:pt idx="67">
                  <c:v>548347.54</c:v>
                </c:pt>
                <c:pt idx="68">
                  <c:v>551185.18000000005</c:v>
                </c:pt>
                <c:pt idx="69">
                  <c:v>552415.56000000006</c:v>
                </c:pt>
                <c:pt idx="70">
                  <c:v>556657.04</c:v>
                </c:pt>
                <c:pt idx="71">
                  <c:v>562841.87</c:v>
                </c:pt>
                <c:pt idx="72">
                  <c:v>559283.11</c:v>
                </c:pt>
                <c:pt idx="73">
                  <c:v>557847.03</c:v>
                </c:pt>
                <c:pt idx="74">
                  <c:v>548628.23</c:v>
                </c:pt>
                <c:pt idx="75">
                  <c:v>557684.38</c:v>
                </c:pt>
                <c:pt idx="76">
                  <c:v>557902.89</c:v>
                </c:pt>
                <c:pt idx="77">
                  <c:v>555879.77</c:v>
                </c:pt>
                <c:pt idx="78">
                  <c:v>564266.66</c:v>
                </c:pt>
                <c:pt idx="79">
                  <c:v>562836.11</c:v>
                </c:pt>
                <c:pt idx="80">
                  <c:v>553027.91</c:v>
                </c:pt>
                <c:pt idx="81">
                  <c:v>541465.56000000006</c:v>
                </c:pt>
                <c:pt idx="82">
                  <c:v>543641.07999999996</c:v>
                </c:pt>
                <c:pt idx="83">
                  <c:v>539384.71</c:v>
                </c:pt>
                <c:pt idx="84">
                  <c:v>541356.44999999995</c:v>
                </c:pt>
                <c:pt idx="85">
                  <c:v>539394.88</c:v>
                </c:pt>
                <c:pt idx="86">
                  <c:v>544430.81000000006</c:v>
                </c:pt>
                <c:pt idx="87">
                  <c:v>532938.27</c:v>
                </c:pt>
                <c:pt idx="88">
                  <c:v>531037.77</c:v>
                </c:pt>
                <c:pt idx="89">
                  <c:v>542289.81999999995</c:v>
                </c:pt>
                <c:pt idx="90">
                  <c:v>544075.99</c:v>
                </c:pt>
                <c:pt idx="91">
                  <c:v>544145.94999999995</c:v>
                </c:pt>
                <c:pt idx="92">
                  <c:v>541680.69999999995</c:v>
                </c:pt>
                <c:pt idx="93">
                  <c:v>543829.93000000005</c:v>
                </c:pt>
                <c:pt idx="94">
                  <c:v>560720.54</c:v>
                </c:pt>
                <c:pt idx="95">
                  <c:v>564808.95999999996</c:v>
                </c:pt>
                <c:pt idx="96">
                  <c:v>567284.62</c:v>
                </c:pt>
                <c:pt idx="97">
                  <c:v>568920.65</c:v>
                </c:pt>
                <c:pt idx="98">
                  <c:v>570483.23</c:v>
                </c:pt>
                <c:pt idx="99">
                  <c:v>569409.34</c:v>
                </c:pt>
                <c:pt idx="100">
                  <c:v>572816.74</c:v>
                </c:pt>
                <c:pt idx="101">
                  <c:v>569728.9</c:v>
                </c:pt>
                <c:pt idx="102">
                  <c:v>554834.39</c:v>
                </c:pt>
                <c:pt idx="103">
                  <c:v>556208.31999999995</c:v>
                </c:pt>
                <c:pt idx="104">
                  <c:v>555843.51</c:v>
                </c:pt>
                <c:pt idx="105">
                  <c:v>549497.04</c:v>
                </c:pt>
                <c:pt idx="106">
                  <c:v>542653.56000000006</c:v>
                </c:pt>
                <c:pt idx="107">
                  <c:v>538706</c:v>
                </c:pt>
                <c:pt idx="108">
                  <c:v>536475.16</c:v>
                </c:pt>
                <c:pt idx="109">
                  <c:v>534890.79</c:v>
                </c:pt>
                <c:pt idx="110">
                  <c:v>528012.68000000005</c:v>
                </c:pt>
                <c:pt idx="111">
                  <c:v>531333.63</c:v>
                </c:pt>
                <c:pt idx="112">
                  <c:v>519864.63</c:v>
                </c:pt>
                <c:pt idx="113">
                  <c:v>528181.9</c:v>
                </c:pt>
                <c:pt idx="114">
                  <c:v>535366.31999999995</c:v>
                </c:pt>
                <c:pt idx="115">
                  <c:v>539471.78</c:v>
                </c:pt>
                <c:pt idx="116">
                  <c:v>513010.68</c:v>
                </c:pt>
                <c:pt idx="117">
                  <c:v>517741.77</c:v>
                </c:pt>
                <c:pt idx="118">
                  <c:v>509959.52</c:v>
                </c:pt>
                <c:pt idx="119">
                  <c:v>514827.79</c:v>
                </c:pt>
                <c:pt idx="120">
                  <c:v>498873.89</c:v>
                </c:pt>
                <c:pt idx="121">
                  <c:v>502581.64</c:v>
                </c:pt>
                <c:pt idx="122">
                  <c:v>500882.66</c:v>
                </c:pt>
                <c:pt idx="123">
                  <c:v>489631.57</c:v>
                </c:pt>
                <c:pt idx="124">
                  <c:v>470035.18</c:v>
                </c:pt>
                <c:pt idx="125">
                  <c:v>460288.78</c:v>
                </c:pt>
                <c:pt idx="126">
                  <c:v>474321.49</c:v>
                </c:pt>
                <c:pt idx="127">
                  <c:v>473054.44</c:v>
                </c:pt>
                <c:pt idx="128">
                  <c:v>485586.27</c:v>
                </c:pt>
                <c:pt idx="129">
                  <c:v>478072.32000000001</c:v>
                </c:pt>
                <c:pt idx="130">
                  <c:v>484722.76</c:v>
                </c:pt>
                <c:pt idx="131">
                  <c:v>467787.84</c:v>
                </c:pt>
                <c:pt idx="132">
                  <c:v>467884.26</c:v>
                </c:pt>
                <c:pt idx="133">
                  <c:v>462955.84</c:v>
                </c:pt>
                <c:pt idx="134">
                  <c:v>455292.47</c:v>
                </c:pt>
                <c:pt idx="135">
                  <c:v>441665.28000000003</c:v>
                </c:pt>
                <c:pt idx="136">
                  <c:v>446517.82</c:v>
                </c:pt>
                <c:pt idx="137">
                  <c:v>451857.64</c:v>
                </c:pt>
                <c:pt idx="138">
                  <c:v>450822.98</c:v>
                </c:pt>
                <c:pt idx="139">
                  <c:v>445280.92</c:v>
                </c:pt>
                <c:pt idx="140">
                  <c:v>443563.73</c:v>
                </c:pt>
                <c:pt idx="141">
                  <c:v>443047.21</c:v>
                </c:pt>
                <c:pt idx="142">
                  <c:v>445192.99</c:v>
                </c:pt>
                <c:pt idx="143">
                  <c:v>442286.66</c:v>
                </c:pt>
                <c:pt idx="144">
                  <c:v>447956.55</c:v>
                </c:pt>
                <c:pt idx="145">
                  <c:v>444890.2</c:v>
                </c:pt>
                <c:pt idx="146">
                  <c:v>437554.51</c:v>
                </c:pt>
                <c:pt idx="147">
                  <c:v>437473.28000000003</c:v>
                </c:pt>
                <c:pt idx="148">
                  <c:v>434666.65</c:v>
                </c:pt>
                <c:pt idx="149">
                  <c:v>430510.23</c:v>
                </c:pt>
                <c:pt idx="150">
                  <c:v>415842</c:v>
                </c:pt>
                <c:pt idx="151">
                  <c:v>425658.87</c:v>
                </c:pt>
                <c:pt idx="152">
                  <c:v>420145.43</c:v>
                </c:pt>
                <c:pt idx="153">
                  <c:v>415045.52</c:v>
                </c:pt>
                <c:pt idx="154">
                  <c:v>417867.6</c:v>
                </c:pt>
                <c:pt idx="155">
                  <c:v>421708.27</c:v>
                </c:pt>
                <c:pt idx="156">
                  <c:v>419818.6</c:v>
                </c:pt>
                <c:pt idx="157">
                  <c:v>422437.4</c:v>
                </c:pt>
                <c:pt idx="158">
                  <c:v>428701.51</c:v>
                </c:pt>
                <c:pt idx="159">
                  <c:v>417969.65</c:v>
                </c:pt>
                <c:pt idx="160">
                  <c:v>420138.72</c:v>
                </c:pt>
                <c:pt idx="161">
                  <c:v>420695.83</c:v>
                </c:pt>
                <c:pt idx="162">
                  <c:v>419762.84</c:v>
                </c:pt>
                <c:pt idx="163">
                  <c:v>416705.95</c:v>
                </c:pt>
                <c:pt idx="164">
                  <c:v>415185.17</c:v>
                </c:pt>
                <c:pt idx="165">
                  <c:v>411536.8</c:v>
                </c:pt>
                <c:pt idx="166">
                  <c:v>406417.81</c:v>
                </c:pt>
                <c:pt idx="167">
                  <c:v>407927.92</c:v>
                </c:pt>
                <c:pt idx="168">
                  <c:v>420460.36</c:v>
                </c:pt>
                <c:pt idx="169">
                  <c:v>422326.78</c:v>
                </c:pt>
                <c:pt idx="170">
                  <c:v>434216.22</c:v>
                </c:pt>
                <c:pt idx="171">
                  <c:v>430782.2</c:v>
                </c:pt>
                <c:pt idx="172">
                  <c:v>440805.37</c:v>
                </c:pt>
                <c:pt idx="173">
                  <c:v>440431.33</c:v>
                </c:pt>
                <c:pt idx="174">
                  <c:v>442572.21</c:v>
                </c:pt>
                <c:pt idx="175">
                  <c:v>445260.81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573-4C53-8229-BDD9C2D74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Fecha</a:t>
                </a:r>
              </a:p>
            </c:rich>
          </c:tx>
          <c:overlay val="1"/>
        </c:title>
        <c:numFmt formatCode="yyyy\-mm\-dd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COP / g</a:t>
                </a:r>
              </a:p>
            </c:rich>
          </c:tx>
          <c:overlay val="1"/>
        </c:title>
        <c:numFmt formatCode="&quot;$&quot;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s-CO"/>
              <a:t>Evolución del Precio de la PLATA (COP / Gramo)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'Dashboard y Gráficos'!$R$1</c:f>
              <c:strCache>
                <c:ptCount val="1"/>
                <c:pt idx="0">
                  <c:v>Plata (COP/g)</c:v>
                </c:pt>
              </c:strCache>
            </c:strRef>
          </c:tx>
          <c:spPr>
            <a:ln w="22000">
              <a:solidFill>
                <a:srgbClr val="475569"/>
              </a:solidFill>
              <a:prstDash val="solid"/>
            </a:ln>
          </c:spPr>
          <c:marker>
            <c:symbol val="circle"/>
            <c:size val="3"/>
            <c:spPr>
              <a:ln>
                <a:prstDash val="solid"/>
              </a:ln>
            </c:spPr>
          </c:marker>
          <c:cat>
            <c:numRef>
              <c:f>'Dashboard y Gráficos'!$P$2:$P$463</c:f>
              <c:numCache>
                <c:formatCode>yyyy\-mm\-dd</c:formatCode>
                <c:ptCount val="462"/>
                <c:pt idx="0">
                  <c:v>46022</c:v>
                </c:pt>
                <c:pt idx="1">
                  <c:v>46024</c:v>
                </c:pt>
                <c:pt idx="2">
                  <c:v>46027</c:v>
                </c:pt>
                <c:pt idx="3">
                  <c:v>46028</c:v>
                </c:pt>
                <c:pt idx="4">
                  <c:v>46029</c:v>
                </c:pt>
                <c:pt idx="5">
                  <c:v>46030</c:v>
                </c:pt>
                <c:pt idx="6">
                  <c:v>46031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  <c:pt idx="33">
                  <c:v>46070</c:v>
                </c:pt>
                <c:pt idx="34">
                  <c:v>46071</c:v>
                </c:pt>
                <c:pt idx="35">
                  <c:v>46072</c:v>
                </c:pt>
                <c:pt idx="36">
                  <c:v>46073</c:v>
                </c:pt>
                <c:pt idx="37">
                  <c:v>46076</c:v>
                </c:pt>
                <c:pt idx="38">
                  <c:v>46077</c:v>
                </c:pt>
                <c:pt idx="39">
                  <c:v>46078</c:v>
                </c:pt>
                <c:pt idx="40">
                  <c:v>46079</c:v>
                </c:pt>
                <c:pt idx="41">
                  <c:v>46080</c:v>
                </c:pt>
                <c:pt idx="42">
                  <c:v>46083</c:v>
                </c:pt>
                <c:pt idx="43">
                  <c:v>46084</c:v>
                </c:pt>
                <c:pt idx="44">
                  <c:v>46085</c:v>
                </c:pt>
                <c:pt idx="45">
                  <c:v>46086</c:v>
                </c:pt>
                <c:pt idx="46">
                  <c:v>46087</c:v>
                </c:pt>
                <c:pt idx="47">
                  <c:v>46090</c:v>
                </c:pt>
                <c:pt idx="48">
                  <c:v>46091</c:v>
                </c:pt>
                <c:pt idx="49">
                  <c:v>46092</c:v>
                </c:pt>
                <c:pt idx="50">
                  <c:v>46093</c:v>
                </c:pt>
                <c:pt idx="51">
                  <c:v>46094</c:v>
                </c:pt>
                <c:pt idx="52">
                  <c:v>46097</c:v>
                </c:pt>
                <c:pt idx="53">
                  <c:v>46098</c:v>
                </c:pt>
                <c:pt idx="54">
                  <c:v>46099</c:v>
                </c:pt>
                <c:pt idx="55">
                  <c:v>46100</c:v>
                </c:pt>
                <c:pt idx="56">
                  <c:v>46101</c:v>
                </c:pt>
                <c:pt idx="57">
                  <c:v>46104</c:v>
                </c:pt>
                <c:pt idx="58">
                  <c:v>46105</c:v>
                </c:pt>
                <c:pt idx="59">
                  <c:v>46106</c:v>
                </c:pt>
                <c:pt idx="60">
                  <c:v>46107</c:v>
                </c:pt>
                <c:pt idx="61">
                  <c:v>46108</c:v>
                </c:pt>
                <c:pt idx="62">
                  <c:v>46110</c:v>
                </c:pt>
                <c:pt idx="63">
                  <c:v>46111</c:v>
                </c:pt>
                <c:pt idx="64">
                  <c:v>46112</c:v>
                </c:pt>
                <c:pt idx="65">
                  <c:v>46113</c:v>
                </c:pt>
                <c:pt idx="66">
                  <c:v>46114</c:v>
                </c:pt>
                <c:pt idx="67">
                  <c:v>46117</c:v>
                </c:pt>
                <c:pt idx="68">
                  <c:v>46118</c:v>
                </c:pt>
                <c:pt idx="69">
                  <c:v>46119</c:v>
                </c:pt>
                <c:pt idx="70">
                  <c:v>46120</c:v>
                </c:pt>
                <c:pt idx="71">
                  <c:v>46121</c:v>
                </c:pt>
                <c:pt idx="72">
                  <c:v>46122</c:v>
                </c:pt>
                <c:pt idx="73">
                  <c:v>46124</c:v>
                </c:pt>
                <c:pt idx="74">
                  <c:v>46125</c:v>
                </c:pt>
                <c:pt idx="75">
                  <c:v>46126</c:v>
                </c:pt>
                <c:pt idx="76">
                  <c:v>46127</c:v>
                </c:pt>
                <c:pt idx="77">
                  <c:v>46128</c:v>
                </c:pt>
                <c:pt idx="78">
                  <c:v>46129</c:v>
                </c:pt>
                <c:pt idx="79">
                  <c:v>46131</c:v>
                </c:pt>
                <c:pt idx="80">
                  <c:v>46132</c:v>
                </c:pt>
                <c:pt idx="81">
                  <c:v>46133</c:v>
                </c:pt>
                <c:pt idx="82">
                  <c:v>46134</c:v>
                </c:pt>
                <c:pt idx="83">
                  <c:v>46135</c:v>
                </c:pt>
                <c:pt idx="84">
                  <c:v>46136</c:v>
                </c:pt>
                <c:pt idx="85">
                  <c:v>46138</c:v>
                </c:pt>
                <c:pt idx="86">
                  <c:v>46139</c:v>
                </c:pt>
                <c:pt idx="87">
                  <c:v>46140</c:v>
                </c:pt>
                <c:pt idx="88">
                  <c:v>46141</c:v>
                </c:pt>
                <c:pt idx="89">
                  <c:v>46142</c:v>
                </c:pt>
                <c:pt idx="90">
                  <c:v>46143</c:v>
                </c:pt>
                <c:pt idx="91">
                  <c:v>46145</c:v>
                </c:pt>
                <c:pt idx="92">
                  <c:v>46146</c:v>
                </c:pt>
                <c:pt idx="93">
                  <c:v>46147</c:v>
                </c:pt>
                <c:pt idx="94">
                  <c:v>46148</c:v>
                </c:pt>
                <c:pt idx="95">
                  <c:v>46149</c:v>
                </c:pt>
                <c:pt idx="96">
                  <c:v>46150</c:v>
                </c:pt>
                <c:pt idx="97">
                  <c:v>46152</c:v>
                </c:pt>
                <c:pt idx="98">
                  <c:v>46153</c:v>
                </c:pt>
                <c:pt idx="99">
                  <c:v>46154</c:v>
                </c:pt>
                <c:pt idx="100">
                  <c:v>46155</c:v>
                </c:pt>
                <c:pt idx="101">
                  <c:v>46156</c:v>
                </c:pt>
                <c:pt idx="102">
                  <c:v>46157</c:v>
                </c:pt>
                <c:pt idx="103">
                  <c:v>46159</c:v>
                </c:pt>
                <c:pt idx="104">
                  <c:v>46160</c:v>
                </c:pt>
                <c:pt idx="105">
                  <c:v>46161</c:v>
                </c:pt>
                <c:pt idx="106">
                  <c:v>46162</c:v>
                </c:pt>
                <c:pt idx="107">
                  <c:v>46163</c:v>
                </c:pt>
                <c:pt idx="108">
                  <c:v>46164</c:v>
                </c:pt>
                <c:pt idx="109">
                  <c:v>46166</c:v>
                </c:pt>
                <c:pt idx="110">
                  <c:v>46167</c:v>
                </c:pt>
                <c:pt idx="111">
                  <c:v>46168</c:v>
                </c:pt>
                <c:pt idx="112">
                  <c:v>46169</c:v>
                </c:pt>
                <c:pt idx="113">
                  <c:v>46170</c:v>
                </c:pt>
                <c:pt idx="114">
                  <c:v>46171</c:v>
                </c:pt>
                <c:pt idx="115">
                  <c:v>46173</c:v>
                </c:pt>
                <c:pt idx="116">
                  <c:v>46174</c:v>
                </c:pt>
                <c:pt idx="117">
                  <c:v>46175</c:v>
                </c:pt>
                <c:pt idx="118">
                  <c:v>46176</c:v>
                </c:pt>
                <c:pt idx="119">
                  <c:v>46177</c:v>
                </c:pt>
                <c:pt idx="120">
                  <c:v>46178</c:v>
                </c:pt>
                <c:pt idx="121">
                  <c:v>46180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46187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46194</c:v>
                </c:pt>
                <c:pt idx="133">
                  <c:v>46195</c:v>
                </c:pt>
                <c:pt idx="134">
                  <c:v>46196</c:v>
                </c:pt>
                <c:pt idx="135">
                  <c:v>46197</c:v>
                </c:pt>
                <c:pt idx="136">
                  <c:v>46198</c:v>
                </c:pt>
                <c:pt idx="137">
                  <c:v>46199</c:v>
                </c:pt>
                <c:pt idx="138">
                  <c:v>46201</c:v>
                </c:pt>
                <c:pt idx="139">
                  <c:v>46202</c:v>
                </c:pt>
                <c:pt idx="140">
                  <c:v>46203</c:v>
                </c:pt>
                <c:pt idx="141">
                  <c:v>46204</c:v>
                </c:pt>
                <c:pt idx="142">
                  <c:v>46205</c:v>
                </c:pt>
                <c:pt idx="143">
                  <c:v>46208</c:v>
                </c:pt>
                <c:pt idx="144">
                  <c:v>46209</c:v>
                </c:pt>
                <c:pt idx="145">
                  <c:v>46210</c:v>
                </c:pt>
                <c:pt idx="146">
                  <c:v>46211</c:v>
                </c:pt>
                <c:pt idx="147">
                  <c:v>46212</c:v>
                </c:pt>
                <c:pt idx="148">
                  <c:v>46213</c:v>
                </c:pt>
                <c:pt idx="149">
                  <c:v>46215</c:v>
                </c:pt>
                <c:pt idx="150">
                  <c:v>46216</c:v>
                </c:pt>
                <c:pt idx="151">
                  <c:v>46217</c:v>
                </c:pt>
                <c:pt idx="152">
                  <c:v>46218</c:v>
                </c:pt>
                <c:pt idx="153">
                  <c:v>46219</c:v>
                </c:pt>
                <c:pt idx="154">
                  <c:v>46220</c:v>
                </c:pt>
                <c:pt idx="155">
                  <c:v>46222</c:v>
                </c:pt>
                <c:pt idx="156">
                  <c:v>46223</c:v>
                </c:pt>
                <c:pt idx="157">
                  <c:v>46224</c:v>
                </c:pt>
                <c:pt idx="158">
                  <c:v>46225</c:v>
                </c:pt>
                <c:pt idx="159">
                  <c:v>46226</c:v>
                </c:pt>
                <c:pt idx="160">
                  <c:v>46227</c:v>
                </c:pt>
                <c:pt idx="161">
                  <c:v>46229</c:v>
                </c:pt>
                <c:pt idx="162">
                  <c:v>46230</c:v>
                </c:pt>
                <c:pt idx="163">
                  <c:v>46231</c:v>
                </c:pt>
                <c:pt idx="164">
                  <c:v>46232</c:v>
                </c:pt>
                <c:pt idx="165">
                  <c:v>46233</c:v>
                </c:pt>
                <c:pt idx="166">
                  <c:v>46234</c:v>
                </c:pt>
                <c:pt idx="167">
                  <c:v>46236</c:v>
                </c:pt>
                <c:pt idx="168">
                  <c:v>46237</c:v>
                </c:pt>
                <c:pt idx="169">
                  <c:v>46238</c:v>
                </c:pt>
                <c:pt idx="170">
                  <c:v>46239</c:v>
                </c:pt>
                <c:pt idx="171">
                  <c:v>46240</c:v>
                </c:pt>
                <c:pt idx="172">
                  <c:v>46241</c:v>
                </c:pt>
                <c:pt idx="173">
                  <c:v>46243</c:v>
                </c:pt>
                <c:pt idx="174">
                  <c:v>46244</c:v>
                </c:pt>
                <c:pt idx="175">
                  <c:v>46245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</c:numCache>
            </c:numRef>
          </c:cat>
          <c:val>
            <c:numRef>
              <c:f>'Dashboard y Gráficos'!$R$2:$R$463</c:f>
              <c:numCache>
                <c:formatCode>General</c:formatCode>
                <c:ptCount val="462"/>
                <c:pt idx="0">
                  <c:v>8434.2199999999993</c:v>
                </c:pt>
                <c:pt idx="1">
                  <c:v>8547.91</c:v>
                </c:pt>
                <c:pt idx="2">
                  <c:v>9137.01</c:v>
                </c:pt>
                <c:pt idx="3">
                  <c:v>9704.9</c:v>
                </c:pt>
                <c:pt idx="4">
                  <c:v>9203.81</c:v>
                </c:pt>
                <c:pt idx="5">
                  <c:v>9009.9599999999991</c:v>
                </c:pt>
                <c:pt idx="6">
                  <c:v>9418.1299999999992</c:v>
                </c:pt>
                <c:pt idx="7">
                  <c:v>9984.59</c:v>
                </c:pt>
                <c:pt idx="8">
                  <c:v>10253.4</c:v>
                </c:pt>
                <c:pt idx="9">
                  <c:v>10765.34</c:v>
                </c:pt>
                <c:pt idx="10">
                  <c:v>10846.03</c:v>
                </c:pt>
                <c:pt idx="11">
                  <c:v>10434.11</c:v>
                </c:pt>
                <c:pt idx="12">
                  <c:v>10329.43</c:v>
                </c:pt>
                <c:pt idx="13">
                  <c:v>11132.33</c:v>
                </c:pt>
                <c:pt idx="14">
                  <c:v>10894.09</c:v>
                </c:pt>
                <c:pt idx="15">
                  <c:v>11334.3</c:v>
                </c:pt>
                <c:pt idx="16">
                  <c:v>11716.15</c:v>
                </c:pt>
                <c:pt idx="17">
                  <c:v>13073.62</c:v>
                </c:pt>
                <c:pt idx="18">
                  <c:v>12488.96</c:v>
                </c:pt>
                <c:pt idx="19">
                  <c:v>13284.37</c:v>
                </c:pt>
                <c:pt idx="20">
                  <c:v>13450.5</c:v>
                </c:pt>
                <c:pt idx="21">
                  <c:v>9193.09</c:v>
                </c:pt>
                <c:pt idx="22">
                  <c:v>8954.5400000000009</c:v>
                </c:pt>
                <c:pt idx="23">
                  <c:v>9664.42</c:v>
                </c:pt>
                <c:pt idx="24">
                  <c:v>9862.4699999999993</c:v>
                </c:pt>
                <c:pt idx="25">
                  <c:v>8927.11</c:v>
                </c:pt>
                <c:pt idx="26">
                  <c:v>9124.89</c:v>
                </c:pt>
                <c:pt idx="27">
                  <c:v>9649.44</c:v>
                </c:pt>
                <c:pt idx="28">
                  <c:v>9460.69</c:v>
                </c:pt>
                <c:pt idx="29">
                  <c:v>9865.49</c:v>
                </c:pt>
                <c:pt idx="30">
                  <c:v>8912.7800000000007</c:v>
                </c:pt>
                <c:pt idx="31">
                  <c:v>9180.89</c:v>
                </c:pt>
                <c:pt idx="32">
                  <c:v>9056.56</c:v>
                </c:pt>
                <c:pt idx="33">
                  <c:v>8633.36</c:v>
                </c:pt>
                <c:pt idx="34">
                  <c:v>9129.9599999999991</c:v>
                </c:pt>
                <c:pt idx="35">
                  <c:v>9172.7900000000009</c:v>
                </c:pt>
                <c:pt idx="36">
                  <c:v>9785</c:v>
                </c:pt>
                <c:pt idx="37">
                  <c:v>10146.120000000001</c:v>
                </c:pt>
                <c:pt idx="38">
                  <c:v>10381.030000000001</c:v>
                </c:pt>
                <c:pt idx="39">
                  <c:v>10847.46</c:v>
                </c:pt>
                <c:pt idx="40">
                  <c:v>10342.629999999999</c:v>
                </c:pt>
                <c:pt idx="41">
                  <c:v>11216.81</c:v>
                </c:pt>
                <c:pt idx="42">
                  <c:v>10549.1</c:v>
                </c:pt>
                <c:pt idx="43">
                  <c:v>10053.09</c:v>
                </c:pt>
                <c:pt idx="44">
                  <c:v>10098.86</c:v>
                </c:pt>
                <c:pt idx="45">
                  <c:v>9872.5400000000009</c:v>
                </c:pt>
                <c:pt idx="46">
                  <c:v>10209</c:v>
                </c:pt>
                <c:pt idx="47">
                  <c:v>10028.41</c:v>
                </c:pt>
                <c:pt idx="48">
                  <c:v>10774.2</c:v>
                </c:pt>
                <c:pt idx="49">
                  <c:v>10143.950000000001</c:v>
                </c:pt>
                <c:pt idx="50">
                  <c:v>10081.49</c:v>
                </c:pt>
                <c:pt idx="51">
                  <c:v>9605.99</c:v>
                </c:pt>
                <c:pt idx="52">
                  <c:v>9389.48</c:v>
                </c:pt>
                <c:pt idx="53">
                  <c:v>9466.44</c:v>
                </c:pt>
                <c:pt idx="54">
                  <c:v>9186.5400000000009</c:v>
                </c:pt>
                <c:pt idx="55">
                  <c:v>8444.17</c:v>
                </c:pt>
                <c:pt idx="56">
                  <c:v>8230.73</c:v>
                </c:pt>
                <c:pt idx="57">
                  <c:v>8050.25</c:v>
                </c:pt>
                <c:pt idx="58">
                  <c:v>8261.99</c:v>
                </c:pt>
                <c:pt idx="59">
                  <c:v>8615.42</c:v>
                </c:pt>
                <c:pt idx="60">
                  <c:v>8047.64</c:v>
                </c:pt>
                <c:pt idx="61">
                  <c:v>8244.61</c:v>
                </c:pt>
                <c:pt idx="62">
                  <c:v>8210.94</c:v>
                </c:pt>
                <c:pt idx="63">
                  <c:v>8309.6</c:v>
                </c:pt>
                <c:pt idx="64">
                  <c:v>8841.32</c:v>
                </c:pt>
                <c:pt idx="65">
                  <c:v>8955.8700000000008</c:v>
                </c:pt>
                <c:pt idx="66">
                  <c:v>8560.51</c:v>
                </c:pt>
                <c:pt idx="67">
                  <c:v>8574.4500000000007</c:v>
                </c:pt>
                <c:pt idx="68">
                  <c:v>8600.26</c:v>
                </c:pt>
                <c:pt idx="69">
                  <c:v>8519.85</c:v>
                </c:pt>
                <c:pt idx="70">
                  <c:v>8816.5</c:v>
                </c:pt>
                <c:pt idx="71">
                  <c:v>8958.7000000000007</c:v>
                </c:pt>
                <c:pt idx="72">
                  <c:v>8964.2199999999993</c:v>
                </c:pt>
                <c:pt idx="73">
                  <c:v>8941.2000000000007</c:v>
                </c:pt>
                <c:pt idx="74">
                  <c:v>8736.94</c:v>
                </c:pt>
                <c:pt idx="75">
                  <c:v>9176.19</c:v>
                </c:pt>
                <c:pt idx="76">
                  <c:v>9239.2199999999993</c:v>
                </c:pt>
                <c:pt idx="77">
                  <c:v>9131</c:v>
                </c:pt>
                <c:pt idx="78">
                  <c:v>9494.82</c:v>
                </c:pt>
                <c:pt idx="79">
                  <c:v>9470.75</c:v>
                </c:pt>
                <c:pt idx="80">
                  <c:v>9198.84</c:v>
                </c:pt>
                <c:pt idx="81">
                  <c:v>8805.9599999999991</c:v>
                </c:pt>
                <c:pt idx="82">
                  <c:v>8947.8799999999992</c:v>
                </c:pt>
                <c:pt idx="83">
                  <c:v>8651.18</c:v>
                </c:pt>
                <c:pt idx="84">
                  <c:v>8756.42</c:v>
                </c:pt>
                <c:pt idx="85">
                  <c:v>8724.69</c:v>
                </c:pt>
                <c:pt idx="86">
                  <c:v>8733.7900000000009</c:v>
                </c:pt>
                <c:pt idx="87">
                  <c:v>8496.9500000000007</c:v>
                </c:pt>
                <c:pt idx="88">
                  <c:v>8361.75</c:v>
                </c:pt>
                <c:pt idx="89">
                  <c:v>8641.24</c:v>
                </c:pt>
                <c:pt idx="90">
                  <c:v>8925.27</c:v>
                </c:pt>
                <c:pt idx="91">
                  <c:v>8926.42</c:v>
                </c:pt>
                <c:pt idx="92">
                  <c:v>8757.98</c:v>
                </c:pt>
                <c:pt idx="93">
                  <c:v>8726.9699999999993</c:v>
                </c:pt>
                <c:pt idx="94">
                  <c:v>9199.15</c:v>
                </c:pt>
                <c:pt idx="95">
                  <c:v>9578.25</c:v>
                </c:pt>
                <c:pt idx="96">
                  <c:v>9661.65</c:v>
                </c:pt>
                <c:pt idx="97">
                  <c:v>9689.51</c:v>
                </c:pt>
                <c:pt idx="98">
                  <c:v>10335</c:v>
                </c:pt>
                <c:pt idx="99">
                  <c:v>10362.969999999999</c:v>
                </c:pt>
                <c:pt idx="100">
                  <c:v>10838.61</c:v>
                </c:pt>
                <c:pt idx="101">
                  <c:v>10341.129999999999</c:v>
                </c:pt>
                <c:pt idx="102">
                  <c:v>9397.16</c:v>
                </c:pt>
                <c:pt idx="103">
                  <c:v>9420.43</c:v>
                </c:pt>
                <c:pt idx="104">
                  <c:v>9410.33</c:v>
                </c:pt>
                <c:pt idx="105">
                  <c:v>9124.51</c:v>
                </c:pt>
                <c:pt idx="106">
                  <c:v>9083.67</c:v>
                </c:pt>
                <c:pt idx="107">
                  <c:v>9067.51</c:v>
                </c:pt>
                <c:pt idx="108">
                  <c:v>9005.69</c:v>
                </c:pt>
                <c:pt idx="109">
                  <c:v>8979.09</c:v>
                </c:pt>
                <c:pt idx="110">
                  <c:v>8863.6299999999992</c:v>
                </c:pt>
                <c:pt idx="111">
                  <c:v>9008.85</c:v>
                </c:pt>
                <c:pt idx="112">
                  <c:v>8719.82</c:v>
                </c:pt>
                <c:pt idx="113">
                  <c:v>8880.1200000000008</c:v>
                </c:pt>
                <c:pt idx="114">
                  <c:v>8876.7099999999991</c:v>
                </c:pt>
                <c:pt idx="115">
                  <c:v>8944.7900000000009</c:v>
                </c:pt>
                <c:pt idx="116">
                  <c:v>8598.36</c:v>
                </c:pt>
                <c:pt idx="117">
                  <c:v>8685.85</c:v>
                </c:pt>
                <c:pt idx="118">
                  <c:v>8445.42</c:v>
                </c:pt>
                <c:pt idx="119">
                  <c:v>8486.41</c:v>
                </c:pt>
                <c:pt idx="120">
                  <c:v>7930.15</c:v>
                </c:pt>
                <c:pt idx="121">
                  <c:v>7989.09</c:v>
                </c:pt>
                <c:pt idx="122">
                  <c:v>7904.45</c:v>
                </c:pt>
                <c:pt idx="123">
                  <c:v>7481.71</c:v>
                </c:pt>
                <c:pt idx="124">
                  <c:v>7391.02</c:v>
                </c:pt>
                <c:pt idx="125">
                  <c:v>7189.09</c:v>
                </c:pt>
                <c:pt idx="126">
                  <c:v>7636.29</c:v>
                </c:pt>
                <c:pt idx="127">
                  <c:v>7615.9</c:v>
                </c:pt>
                <c:pt idx="128">
                  <c:v>7861.16</c:v>
                </c:pt>
                <c:pt idx="129">
                  <c:v>7715.9</c:v>
                </c:pt>
                <c:pt idx="130">
                  <c:v>7861.61</c:v>
                </c:pt>
                <c:pt idx="131">
                  <c:v>7337.25</c:v>
                </c:pt>
                <c:pt idx="132">
                  <c:v>7338.76</c:v>
                </c:pt>
                <c:pt idx="133">
                  <c:v>7254.14</c:v>
                </c:pt>
                <c:pt idx="134">
                  <c:v>6837.27</c:v>
                </c:pt>
                <c:pt idx="135">
                  <c:v>6425.47</c:v>
                </c:pt>
                <c:pt idx="136">
                  <c:v>6464.07</c:v>
                </c:pt>
                <c:pt idx="137">
                  <c:v>6560.34</c:v>
                </c:pt>
                <c:pt idx="138">
                  <c:v>6545.32</c:v>
                </c:pt>
                <c:pt idx="139">
                  <c:v>6440.15</c:v>
                </c:pt>
                <c:pt idx="140">
                  <c:v>6557.92</c:v>
                </c:pt>
                <c:pt idx="141">
                  <c:v>6543.39</c:v>
                </c:pt>
                <c:pt idx="142">
                  <c:v>6564.5</c:v>
                </c:pt>
                <c:pt idx="143">
                  <c:v>6521.65</c:v>
                </c:pt>
                <c:pt idx="144">
                  <c:v>6675.52</c:v>
                </c:pt>
                <c:pt idx="145">
                  <c:v>6539.36</c:v>
                </c:pt>
                <c:pt idx="146">
                  <c:v>6251.67</c:v>
                </c:pt>
                <c:pt idx="147">
                  <c:v>6394.65</c:v>
                </c:pt>
                <c:pt idx="148">
                  <c:v>6334.39</c:v>
                </c:pt>
                <c:pt idx="149">
                  <c:v>6273.82</c:v>
                </c:pt>
                <c:pt idx="150">
                  <c:v>5996.16</c:v>
                </c:pt>
                <c:pt idx="151">
                  <c:v>6160.11</c:v>
                </c:pt>
                <c:pt idx="152">
                  <c:v>5933.36</c:v>
                </c:pt>
                <c:pt idx="153">
                  <c:v>5821.01</c:v>
                </c:pt>
                <c:pt idx="154">
                  <c:v>5835.59</c:v>
                </c:pt>
                <c:pt idx="155">
                  <c:v>5889.22</c:v>
                </c:pt>
                <c:pt idx="156">
                  <c:v>5946.32</c:v>
                </c:pt>
                <c:pt idx="157">
                  <c:v>6105.01</c:v>
                </c:pt>
                <c:pt idx="158">
                  <c:v>6204.69</c:v>
                </c:pt>
                <c:pt idx="159">
                  <c:v>5969.9</c:v>
                </c:pt>
                <c:pt idx="160">
                  <c:v>6058.52</c:v>
                </c:pt>
                <c:pt idx="161">
                  <c:v>6066.56</c:v>
                </c:pt>
                <c:pt idx="162">
                  <c:v>6023.9</c:v>
                </c:pt>
                <c:pt idx="163">
                  <c:v>5915.22</c:v>
                </c:pt>
                <c:pt idx="164">
                  <c:v>5954.31</c:v>
                </c:pt>
                <c:pt idx="165">
                  <c:v>5903.4</c:v>
                </c:pt>
                <c:pt idx="166">
                  <c:v>5780.55</c:v>
                </c:pt>
                <c:pt idx="167">
                  <c:v>5802.02</c:v>
                </c:pt>
                <c:pt idx="168">
                  <c:v>6011.03</c:v>
                </c:pt>
                <c:pt idx="169">
                  <c:v>6193.11</c:v>
                </c:pt>
                <c:pt idx="170">
                  <c:v>6350.84</c:v>
                </c:pt>
                <c:pt idx="171">
                  <c:v>6239.23</c:v>
                </c:pt>
                <c:pt idx="172">
                  <c:v>6431.47</c:v>
                </c:pt>
                <c:pt idx="173">
                  <c:v>6426.01</c:v>
                </c:pt>
                <c:pt idx="174">
                  <c:v>6606.01</c:v>
                </c:pt>
                <c:pt idx="175">
                  <c:v>6518.69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4BA-48B3-9D91-9902CCED1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Fecha</a:t>
                </a:r>
              </a:p>
            </c:rich>
          </c:tx>
          <c:overlay val="1"/>
        </c:title>
        <c:numFmt formatCode="yyyy\-mm\-dd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COP / g</a:t>
                </a:r>
              </a:p>
            </c:rich>
          </c:tx>
          <c:overlay val="1"/>
        </c:title>
        <c:numFmt formatCode="&quot;$&quot;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s-CO"/>
              <a:t>Comparativo Histórico: ORO vs PLATA (COP/g) [Eje Doble]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'Dashboard y Gráficos'!$Q$1</c:f>
              <c:strCache>
                <c:ptCount val="1"/>
                <c:pt idx="0">
                  <c:v>Oro (COP/g)</c:v>
                </c:pt>
              </c:strCache>
            </c:strRef>
          </c:tx>
          <c:spPr>
            <a:ln>
              <a:solidFill>
                <a:srgbClr val="D97706"/>
              </a:solidFill>
              <a:prstDash val="solid"/>
            </a:ln>
          </c:spPr>
          <c:marker>
            <c:symbol val="none"/>
          </c:marker>
          <c:cat>
            <c:numRef>
              <c:f>'Dashboard y Gráficos'!$P$2:$P$463</c:f>
              <c:numCache>
                <c:formatCode>yyyy\-mm\-dd</c:formatCode>
                <c:ptCount val="462"/>
                <c:pt idx="0">
                  <c:v>46022</c:v>
                </c:pt>
                <c:pt idx="1">
                  <c:v>46024</c:v>
                </c:pt>
                <c:pt idx="2">
                  <c:v>46027</c:v>
                </c:pt>
                <c:pt idx="3">
                  <c:v>46028</c:v>
                </c:pt>
                <c:pt idx="4">
                  <c:v>46029</c:v>
                </c:pt>
                <c:pt idx="5">
                  <c:v>46030</c:v>
                </c:pt>
                <c:pt idx="6">
                  <c:v>46031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  <c:pt idx="33">
                  <c:v>46070</c:v>
                </c:pt>
                <c:pt idx="34">
                  <c:v>46071</c:v>
                </c:pt>
                <c:pt idx="35">
                  <c:v>46072</c:v>
                </c:pt>
                <c:pt idx="36">
                  <c:v>46073</c:v>
                </c:pt>
                <c:pt idx="37">
                  <c:v>46076</c:v>
                </c:pt>
                <c:pt idx="38">
                  <c:v>46077</c:v>
                </c:pt>
                <c:pt idx="39">
                  <c:v>46078</c:v>
                </c:pt>
                <c:pt idx="40">
                  <c:v>46079</c:v>
                </c:pt>
                <c:pt idx="41">
                  <c:v>46080</c:v>
                </c:pt>
                <c:pt idx="42">
                  <c:v>46083</c:v>
                </c:pt>
                <c:pt idx="43">
                  <c:v>46084</c:v>
                </c:pt>
                <c:pt idx="44">
                  <c:v>46085</c:v>
                </c:pt>
                <c:pt idx="45">
                  <c:v>46086</c:v>
                </c:pt>
                <c:pt idx="46">
                  <c:v>46087</c:v>
                </c:pt>
                <c:pt idx="47">
                  <c:v>46090</c:v>
                </c:pt>
                <c:pt idx="48">
                  <c:v>46091</c:v>
                </c:pt>
                <c:pt idx="49">
                  <c:v>46092</c:v>
                </c:pt>
                <c:pt idx="50">
                  <c:v>46093</c:v>
                </c:pt>
                <c:pt idx="51">
                  <c:v>46094</c:v>
                </c:pt>
                <c:pt idx="52">
                  <c:v>46097</c:v>
                </c:pt>
                <c:pt idx="53">
                  <c:v>46098</c:v>
                </c:pt>
                <c:pt idx="54">
                  <c:v>46099</c:v>
                </c:pt>
                <c:pt idx="55">
                  <c:v>46100</c:v>
                </c:pt>
                <c:pt idx="56">
                  <c:v>46101</c:v>
                </c:pt>
                <c:pt idx="57">
                  <c:v>46104</c:v>
                </c:pt>
                <c:pt idx="58">
                  <c:v>46105</c:v>
                </c:pt>
                <c:pt idx="59">
                  <c:v>46106</c:v>
                </c:pt>
                <c:pt idx="60">
                  <c:v>46107</c:v>
                </c:pt>
                <c:pt idx="61">
                  <c:v>46108</c:v>
                </c:pt>
                <c:pt idx="62">
                  <c:v>46110</c:v>
                </c:pt>
                <c:pt idx="63">
                  <c:v>46111</c:v>
                </c:pt>
                <c:pt idx="64">
                  <c:v>46112</c:v>
                </c:pt>
                <c:pt idx="65">
                  <c:v>46113</c:v>
                </c:pt>
                <c:pt idx="66">
                  <c:v>46114</c:v>
                </c:pt>
                <c:pt idx="67">
                  <c:v>46117</c:v>
                </c:pt>
                <c:pt idx="68">
                  <c:v>46118</c:v>
                </c:pt>
                <c:pt idx="69">
                  <c:v>46119</c:v>
                </c:pt>
                <c:pt idx="70">
                  <c:v>46120</c:v>
                </c:pt>
                <c:pt idx="71">
                  <c:v>46121</c:v>
                </c:pt>
                <c:pt idx="72">
                  <c:v>46122</c:v>
                </c:pt>
                <c:pt idx="73">
                  <c:v>46124</c:v>
                </c:pt>
                <c:pt idx="74">
                  <c:v>46125</c:v>
                </c:pt>
                <c:pt idx="75">
                  <c:v>46126</c:v>
                </c:pt>
                <c:pt idx="76">
                  <c:v>46127</c:v>
                </c:pt>
                <c:pt idx="77">
                  <c:v>46128</c:v>
                </c:pt>
                <c:pt idx="78">
                  <c:v>46129</c:v>
                </c:pt>
                <c:pt idx="79">
                  <c:v>46131</c:v>
                </c:pt>
                <c:pt idx="80">
                  <c:v>46132</c:v>
                </c:pt>
                <c:pt idx="81">
                  <c:v>46133</c:v>
                </c:pt>
                <c:pt idx="82">
                  <c:v>46134</c:v>
                </c:pt>
                <c:pt idx="83">
                  <c:v>46135</c:v>
                </c:pt>
                <c:pt idx="84">
                  <c:v>46136</c:v>
                </c:pt>
                <c:pt idx="85">
                  <c:v>46138</c:v>
                </c:pt>
                <c:pt idx="86">
                  <c:v>46139</c:v>
                </c:pt>
                <c:pt idx="87">
                  <c:v>46140</c:v>
                </c:pt>
                <c:pt idx="88">
                  <c:v>46141</c:v>
                </c:pt>
                <c:pt idx="89">
                  <c:v>46142</c:v>
                </c:pt>
                <c:pt idx="90">
                  <c:v>46143</c:v>
                </c:pt>
                <c:pt idx="91">
                  <c:v>46145</c:v>
                </c:pt>
                <c:pt idx="92">
                  <c:v>46146</c:v>
                </c:pt>
                <c:pt idx="93">
                  <c:v>46147</c:v>
                </c:pt>
                <c:pt idx="94">
                  <c:v>46148</c:v>
                </c:pt>
                <c:pt idx="95">
                  <c:v>46149</c:v>
                </c:pt>
                <c:pt idx="96">
                  <c:v>46150</c:v>
                </c:pt>
                <c:pt idx="97">
                  <c:v>46152</c:v>
                </c:pt>
                <c:pt idx="98">
                  <c:v>46153</c:v>
                </c:pt>
                <c:pt idx="99">
                  <c:v>46154</c:v>
                </c:pt>
                <c:pt idx="100">
                  <c:v>46155</c:v>
                </c:pt>
                <c:pt idx="101">
                  <c:v>46156</c:v>
                </c:pt>
                <c:pt idx="102">
                  <c:v>46157</c:v>
                </c:pt>
                <c:pt idx="103">
                  <c:v>46159</c:v>
                </c:pt>
                <c:pt idx="104">
                  <c:v>46160</c:v>
                </c:pt>
                <c:pt idx="105">
                  <c:v>46161</c:v>
                </c:pt>
                <c:pt idx="106">
                  <c:v>46162</c:v>
                </c:pt>
                <c:pt idx="107">
                  <c:v>46163</c:v>
                </c:pt>
                <c:pt idx="108">
                  <c:v>46164</c:v>
                </c:pt>
                <c:pt idx="109">
                  <c:v>46166</c:v>
                </c:pt>
                <c:pt idx="110">
                  <c:v>46167</c:v>
                </c:pt>
                <c:pt idx="111">
                  <c:v>46168</c:v>
                </c:pt>
                <c:pt idx="112">
                  <c:v>46169</c:v>
                </c:pt>
                <c:pt idx="113">
                  <c:v>46170</c:v>
                </c:pt>
                <c:pt idx="114">
                  <c:v>46171</c:v>
                </c:pt>
                <c:pt idx="115">
                  <c:v>46173</c:v>
                </c:pt>
                <c:pt idx="116">
                  <c:v>46174</c:v>
                </c:pt>
                <c:pt idx="117">
                  <c:v>46175</c:v>
                </c:pt>
                <c:pt idx="118">
                  <c:v>46176</c:v>
                </c:pt>
                <c:pt idx="119">
                  <c:v>46177</c:v>
                </c:pt>
                <c:pt idx="120">
                  <c:v>46178</c:v>
                </c:pt>
                <c:pt idx="121">
                  <c:v>46180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46187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46194</c:v>
                </c:pt>
                <c:pt idx="133">
                  <c:v>46195</c:v>
                </c:pt>
                <c:pt idx="134">
                  <c:v>46196</c:v>
                </c:pt>
                <c:pt idx="135">
                  <c:v>46197</c:v>
                </c:pt>
                <c:pt idx="136">
                  <c:v>46198</c:v>
                </c:pt>
                <c:pt idx="137">
                  <c:v>46199</c:v>
                </c:pt>
                <c:pt idx="138">
                  <c:v>46201</c:v>
                </c:pt>
                <c:pt idx="139">
                  <c:v>46202</c:v>
                </c:pt>
                <c:pt idx="140">
                  <c:v>46203</c:v>
                </c:pt>
                <c:pt idx="141">
                  <c:v>46204</c:v>
                </c:pt>
                <c:pt idx="142">
                  <c:v>46205</c:v>
                </c:pt>
                <c:pt idx="143">
                  <c:v>46208</c:v>
                </c:pt>
                <c:pt idx="144">
                  <c:v>46209</c:v>
                </c:pt>
                <c:pt idx="145">
                  <c:v>46210</c:v>
                </c:pt>
                <c:pt idx="146">
                  <c:v>46211</c:v>
                </c:pt>
                <c:pt idx="147">
                  <c:v>46212</c:v>
                </c:pt>
                <c:pt idx="148">
                  <c:v>46213</c:v>
                </c:pt>
                <c:pt idx="149">
                  <c:v>46215</c:v>
                </c:pt>
                <c:pt idx="150">
                  <c:v>46216</c:v>
                </c:pt>
                <c:pt idx="151">
                  <c:v>46217</c:v>
                </c:pt>
                <c:pt idx="152">
                  <c:v>46218</c:v>
                </c:pt>
                <c:pt idx="153">
                  <c:v>46219</c:v>
                </c:pt>
                <c:pt idx="154">
                  <c:v>46220</c:v>
                </c:pt>
                <c:pt idx="155">
                  <c:v>46222</c:v>
                </c:pt>
                <c:pt idx="156">
                  <c:v>46223</c:v>
                </c:pt>
                <c:pt idx="157">
                  <c:v>46224</c:v>
                </c:pt>
                <c:pt idx="158">
                  <c:v>46225</c:v>
                </c:pt>
                <c:pt idx="159">
                  <c:v>46226</c:v>
                </c:pt>
                <c:pt idx="160">
                  <c:v>46227</c:v>
                </c:pt>
                <c:pt idx="161">
                  <c:v>46229</c:v>
                </c:pt>
                <c:pt idx="162">
                  <c:v>46230</c:v>
                </c:pt>
                <c:pt idx="163">
                  <c:v>46231</c:v>
                </c:pt>
                <c:pt idx="164">
                  <c:v>46232</c:v>
                </c:pt>
                <c:pt idx="165">
                  <c:v>46233</c:v>
                </c:pt>
                <c:pt idx="166">
                  <c:v>46234</c:v>
                </c:pt>
                <c:pt idx="167">
                  <c:v>46236</c:v>
                </c:pt>
                <c:pt idx="168">
                  <c:v>46237</c:v>
                </c:pt>
                <c:pt idx="169">
                  <c:v>46238</c:v>
                </c:pt>
                <c:pt idx="170">
                  <c:v>46239</c:v>
                </c:pt>
                <c:pt idx="171">
                  <c:v>46240</c:v>
                </c:pt>
                <c:pt idx="172">
                  <c:v>46241</c:v>
                </c:pt>
                <c:pt idx="173">
                  <c:v>46243</c:v>
                </c:pt>
                <c:pt idx="174">
                  <c:v>46244</c:v>
                </c:pt>
                <c:pt idx="175">
                  <c:v>46245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</c:numCache>
            </c:numRef>
          </c:cat>
          <c:val>
            <c:numRef>
              <c:f>'Dashboard y Gráficos'!$Q$2:$Q$463</c:f>
              <c:numCache>
                <c:formatCode>General</c:formatCode>
                <c:ptCount val="462"/>
                <c:pt idx="0">
                  <c:v>520190.53</c:v>
                </c:pt>
                <c:pt idx="1">
                  <c:v>522692.84</c:v>
                </c:pt>
                <c:pt idx="2">
                  <c:v>532272.53</c:v>
                </c:pt>
                <c:pt idx="3">
                  <c:v>540162.93000000005</c:v>
                </c:pt>
                <c:pt idx="4">
                  <c:v>530893.77</c:v>
                </c:pt>
                <c:pt idx="5">
                  <c:v>536586.73</c:v>
                </c:pt>
                <c:pt idx="6">
                  <c:v>536106.41</c:v>
                </c:pt>
                <c:pt idx="7">
                  <c:v>543340.43999999994</c:v>
                </c:pt>
                <c:pt idx="8">
                  <c:v>547933.5</c:v>
                </c:pt>
                <c:pt idx="9">
                  <c:v>548082.38</c:v>
                </c:pt>
                <c:pt idx="10">
                  <c:v>544957.84</c:v>
                </c:pt>
                <c:pt idx="11">
                  <c:v>543481.69999999995</c:v>
                </c:pt>
                <c:pt idx="12">
                  <c:v>538029.35</c:v>
                </c:pt>
                <c:pt idx="13">
                  <c:v>562442.27</c:v>
                </c:pt>
                <c:pt idx="14">
                  <c:v>570849.82999999996</c:v>
                </c:pt>
                <c:pt idx="15">
                  <c:v>579705.48</c:v>
                </c:pt>
                <c:pt idx="16">
                  <c:v>577675.46</c:v>
                </c:pt>
                <c:pt idx="17">
                  <c:v>577077.55000000005</c:v>
                </c:pt>
                <c:pt idx="18">
                  <c:v>601221.42000000004</c:v>
                </c:pt>
                <c:pt idx="19">
                  <c:v>622648.49</c:v>
                </c:pt>
                <c:pt idx="20">
                  <c:v>627297.57999999996</c:v>
                </c:pt>
                <c:pt idx="21">
                  <c:v>553522.76</c:v>
                </c:pt>
                <c:pt idx="22">
                  <c:v>539117.59</c:v>
                </c:pt>
                <c:pt idx="23">
                  <c:v>570692.22</c:v>
                </c:pt>
                <c:pt idx="24">
                  <c:v>576573.18000000005</c:v>
                </c:pt>
                <c:pt idx="25">
                  <c:v>567082.21</c:v>
                </c:pt>
                <c:pt idx="26">
                  <c:v>588768.78</c:v>
                </c:pt>
                <c:pt idx="27">
                  <c:v>593899.47</c:v>
                </c:pt>
                <c:pt idx="28">
                  <c:v>590134.63</c:v>
                </c:pt>
                <c:pt idx="29">
                  <c:v>597390.53</c:v>
                </c:pt>
                <c:pt idx="30">
                  <c:v>580888.93999999994</c:v>
                </c:pt>
                <c:pt idx="31">
                  <c:v>592239.13</c:v>
                </c:pt>
                <c:pt idx="32">
                  <c:v>584219.29</c:v>
                </c:pt>
                <c:pt idx="33">
                  <c:v>573962.34</c:v>
                </c:pt>
                <c:pt idx="34">
                  <c:v>587371.29</c:v>
                </c:pt>
                <c:pt idx="35">
                  <c:v>588447.18000000005</c:v>
                </c:pt>
                <c:pt idx="36">
                  <c:v>601646.17000000004</c:v>
                </c:pt>
                <c:pt idx="37">
                  <c:v>610328.99</c:v>
                </c:pt>
                <c:pt idx="38">
                  <c:v>611986.35</c:v>
                </c:pt>
                <c:pt idx="39">
                  <c:v>621034.01</c:v>
                </c:pt>
                <c:pt idx="40">
                  <c:v>615400.4</c:v>
                </c:pt>
                <c:pt idx="41">
                  <c:v>633019.88</c:v>
                </c:pt>
                <c:pt idx="42">
                  <c:v>632630.5</c:v>
                </c:pt>
                <c:pt idx="43">
                  <c:v>619190.71</c:v>
                </c:pt>
                <c:pt idx="44">
                  <c:v>625756.80000000005</c:v>
                </c:pt>
                <c:pt idx="45">
                  <c:v>612183</c:v>
                </c:pt>
                <c:pt idx="46">
                  <c:v>626807.65</c:v>
                </c:pt>
                <c:pt idx="47">
                  <c:v>607621.68999999994</c:v>
                </c:pt>
                <c:pt idx="48">
                  <c:v>632509.47</c:v>
                </c:pt>
                <c:pt idx="49">
                  <c:v>616209.18999999994</c:v>
                </c:pt>
                <c:pt idx="50">
                  <c:v>609128.24</c:v>
                </c:pt>
                <c:pt idx="51">
                  <c:v>599825.54</c:v>
                </c:pt>
                <c:pt idx="52">
                  <c:v>584217.69999999995</c:v>
                </c:pt>
                <c:pt idx="53">
                  <c:v>595267.93000000005</c:v>
                </c:pt>
                <c:pt idx="54">
                  <c:v>581595.63</c:v>
                </c:pt>
                <c:pt idx="55">
                  <c:v>547926.53</c:v>
                </c:pt>
                <c:pt idx="56">
                  <c:v>542354.72</c:v>
                </c:pt>
                <c:pt idx="57">
                  <c:v>513463.19</c:v>
                </c:pt>
                <c:pt idx="58">
                  <c:v>524684.46</c:v>
                </c:pt>
                <c:pt idx="59">
                  <c:v>541706.48</c:v>
                </c:pt>
                <c:pt idx="60">
                  <c:v>520347.75</c:v>
                </c:pt>
                <c:pt idx="61">
                  <c:v>532529.91</c:v>
                </c:pt>
                <c:pt idx="62">
                  <c:v>530354.92000000004</c:v>
                </c:pt>
                <c:pt idx="63">
                  <c:v>534799.9</c:v>
                </c:pt>
                <c:pt idx="64">
                  <c:v>550153.09</c:v>
                </c:pt>
                <c:pt idx="65">
                  <c:v>564642.09</c:v>
                </c:pt>
                <c:pt idx="66">
                  <c:v>547456.24</c:v>
                </c:pt>
                <c:pt idx="67">
                  <c:v>548347.54</c:v>
                </c:pt>
                <c:pt idx="68">
                  <c:v>551185.18000000005</c:v>
                </c:pt>
                <c:pt idx="69">
                  <c:v>552415.56000000006</c:v>
                </c:pt>
                <c:pt idx="70">
                  <c:v>556657.04</c:v>
                </c:pt>
                <c:pt idx="71">
                  <c:v>562841.87</c:v>
                </c:pt>
                <c:pt idx="72">
                  <c:v>559283.11</c:v>
                </c:pt>
                <c:pt idx="73">
                  <c:v>557847.03</c:v>
                </c:pt>
                <c:pt idx="74">
                  <c:v>548628.23</c:v>
                </c:pt>
                <c:pt idx="75">
                  <c:v>557684.38</c:v>
                </c:pt>
                <c:pt idx="76">
                  <c:v>557902.89</c:v>
                </c:pt>
                <c:pt idx="77">
                  <c:v>555879.77</c:v>
                </c:pt>
                <c:pt idx="78">
                  <c:v>564266.66</c:v>
                </c:pt>
                <c:pt idx="79">
                  <c:v>562836.11</c:v>
                </c:pt>
                <c:pt idx="80">
                  <c:v>553027.91</c:v>
                </c:pt>
                <c:pt idx="81">
                  <c:v>541465.56000000006</c:v>
                </c:pt>
                <c:pt idx="82">
                  <c:v>543641.07999999996</c:v>
                </c:pt>
                <c:pt idx="83">
                  <c:v>539384.71</c:v>
                </c:pt>
                <c:pt idx="84">
                  <c:v>541356.44999999995</c:v>
                </c:pt>
                <c:pt idx="85">
                  <c:v>539394.88</c:v>
                </c:pt>
                <c:pt idx="86">
                  <c:v>544430.81000000006</c:v>
                </c:pt>
                <c:pt idx="87">
                  <c:v>532938.27</c:v>
                </c:pt>
                <c:pt idx="88">
                  <c:v>531037.77</c:v>
                </c:pt>
                <c:pt idx="89">
                  <c:v>542289.81999999995</c:v>
                </c:pt>
                <c:pt idx="90">
                  <c:v>544075.99</c:v>
                </c:pt>
                <c:pt idx="91">
                  <c:v>544145.94999999995</c:v>
                </c:pt>
                <c:pt idx="92">
                  <c:v>541680.69999999995</c:v>
                </c:pt>
                <c:pt idx="93">
                  <c:v>543829.93000000005</c:v>
                </c:pt>
                <c:pt idx="94">
                  <c:v>560720.54</c:v>
                </c:pt>
                <c:pt idx="95">
                  <c:v>564808.95999999996</c:v>
                </c:pt>
                <c:pt idx="96">
                  <c:v>567284.62</c:v>
                </c:pt>
                <c:pt idx="97">
                  <c:v>568920.65</c:v>
                </c:pt>
                <c:pt idx="98">
                  <c:v>570483.23</c:v>
                </c:pt>
                <c:pt idx="99">
                  <c:v>569409.34</c:v>
                </c:pt>
                <c:pt idx="100">
                  <c:v>572816.74</c:v>
                </c:pt>
                <c:pt idx="101">
                  <c:v>569728.9</c:v>
                </c:pt>
                <c:pt idx="102">
                  <c:v>554834.39</c:v>
                </c:pt>
                <c:pt idx="103">
                  <c:v>556208.31999999995</c:v>
                </c:pt>
                <c:pt idx="104">
                  <c:v>555843.51</c:v>
                </c:pt>
                <c:pt idx="105">
                  <c:v>549497.04</c:v>
                </c:pt>
                <c:pt idx="106">
                  <c:v>542653.56000000006</c:v>
                </c:pt>
                <c:pt idx="107">
                  <c:v>538706</c:v>
                </c:pt>
                <c:pt idx="108">
                  <c:v>536475.16</c:v>
                </c:pt>
                <c:pt idx="109">
                  <c:v>534890.79</c:v>
                </c:pt>
                <c:pt idx="110">
                  <c:v>528012.68000000005</c:v>
                </c:pt>
                <c:pt idx="111">
                  <c:v>531333.63</c:v>
                </c:pt>
                <c:pt idx="112">
                  <c:v>519864.63</c:v>
                </c:pt>
                <c:pt idx="113">
                  <c:v>528181.9</c:v>
                </c:pt>
                <c:pt idx="114">
                  <c:v>535366.31999999995</c:v>
                </c:pt>
                <c:pt idx="115">
                  <c:v>539471.78</c:v>
                </c:pt>
                <c:pt idx="116">
                  <c:v>513010.68</c:v>
                </c:pt>
                <c:pt idx="117">
                  <c:v>517741.77</c:v>
                </c:pt>
                <c:pt idx="118">
                  <c:v>509959.52</c:v>
                </c:pt>
                <c:pt idx="119">
                  <c:v>514827.79</c:v>
                </c:pt>
                <c:pt idx="120">
                  <c:v>498873.89</c:v>
                </c:pt>
                <c:pt idx="121">
                  <c:v>502581.64</c:v>
                </c:pt>
                <c:pt idx="122">
                  <c:v>500882.66</c:v>
                </c:pt>
                <c:pt idx="123">
                  <c:v>489631.57</c:v>
                </c:pt>
                <c:pt idx="124">
                  <c:v>470035.18</c:v>
                </c:pt>
                <c:pt idx="125">
                  <c:v>460288.78</c:v>
                </c:pt>
                <c:pt idx="126">
                  <c:v>474321.49</c:v>
                </c:pt>
                <c:pt idx="127">
                  <c:v>473054.44</c:v>
                </c:pt>
                <c:pt idx="128">
                  <c:v>485586.27</c:v>
                </c:pt>
                <c:pt idx="129">
                  <c:v>478072.32000000001</c:v>
                </c:pt>
                <c:pt idx="130">
                  <c:v>484722.76</c:v>
                </c:pt>
                <c:pt idx="131">
                  <c:v>467787.84</c:v>
                </c:pt>
                <c:pt idx="132">
                  <c:v>467884.26</c:v>
                </c:pt>
                <c:pt idx="133">
                  <c:v>462955.84</c:v>
                </c:pt>
                <c:pt idx="134">
                  <c:v>455292.47</c:v>
                </c:pt>
                <c:pt idx="135">
                  <c:v>441665.28000000003</c:v>
                </c:pt>
                <c:pt idx="136">
                  <c:v>446517.82</c:v>
                </c:pt>
                <c:pt idx="137">
                  <c:v>451857.64</c:v>
                </c:pt>
                <c:pt idx="138">
                  <c:v>450822.98</c:v>
                </c:pt>
                <c:pt idx="139">
                  <c:v>445280.92</c:v>
                </c:pt>
                <c:pt idx="140">
                  <c:v>443563.73</c:v>
                </c:pt>
                <c:pt idx="141">
                  <c:v>443047.21</c:v>
                </c:pt>
                <c:pt idx="142">
                  <c:v>445192.99</c:v>
                </c:pt>
                <c:pt idx="143">
                  <c:v>442286.66</c:v>
                </c:pt>
                <c:pt idx="144">
                  <c:v>447956.55</c:v>
                </c:pt>
                <c:pt idx="145">
                  <c:v>444890.2</c:v>
                </c:pt>
                <c:pt idx="146">
                  <c:v>437554.51</c:v>
                </c:pt>
                <c:pt idx="147">
                  <c:v>437473.28000000003</c:v>
                </c:pt>
                <c:pt idx="148">
                  <c:v>434666.65</c:v>
                </c:pt>
                <c:pt idx="149">
                  <c:v>430510.23</c:v>
                </c:pt>
                <c:pt idx="150">
                  <c:v>415842</c:v>
                </c:pt>
                <c:pt idx="151">
                  <c:v>425658.87</c:v>
                </c:pt>
                <c:pt idx="152">
                  <c:v>420145.43</c:v>
                </c:pt>
                <c:pt idx="153">
                  <c:v>415045.52</c:v>
                </c:pt>
                <c:pt idx="154">
                  <c:v>417867.6</c:v>
                </c:pt>
                <c:pt idx="155">
                  <c:v>421708.27</c:v>
                </c:pt>
                <c:pt idx="156">
                  <c:v>419818.6</c:v>
                </c:pt>
                <c:pt idx="157">
                  <c:v>422437.4</c:v>
                </c:pt>
                <c:pt idx="158">
                  <c:v>428701.51</c:v>
                </c:pt>
                <c:pt idx="159">
                  <c:v>417969.65</c:v>
                </c:pt>
                <c:pt idx="160">
                  <c:v>420138.72</c:v>
                </c:pt>
                <c:pt idx="161">
                  <c:v>420695.83</c:v>
                </c:pt>
                <c:pt idx="162">
                  <c:v>419762.84</c:v>
                </c:pt>
                <c:pt idx="163">
                  <c:v>416705.95</c:v>
                </c:pt>
                <c:pt idx="164">
                  <c:v>415185.17</c:v>
                </c:pt>
                <c:pt idx="165">
                  <c:v>411536.8</c:v>
                </c:pt>
                <c:pt idx="166">
                  <c:v>406417.81</c:v>
                </c:pt>
                <c:pt idx="167">
                  <c:v>407927.92</c:v>
                </c:pt>
                <c:pt idx="168">
                  <c:v>420460.36</c:v>
                </c:pt>
                <c:pt idx="169">
                  <c:v>422326.78</c:v>
                </c:pt>
                <c:pt idx="170">
                  <c:v>434216.22</c:v>
                </c:pt>
                <c:pt idx="171">
                  <c:v>430782.2</c:v>
                </c:pt>
                <c:pt idx="172">
                  <c:v>440805.37</c:v>
                </c:pt>
                <c:pt idx="173">
                  <c:v>440431.33</c:v>
                </c:pt>
                <c:pt idx="174">
                  <c:v>442572.21</c:v>
                </c:pt>
                <c:pt idx="175">
                  <c:v>445260.81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BE6-4F25-9BBC-2C68C85D5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1"/>
          <c:order val="1"/>
          <c:tx>
            <c:strRef>
              <c:f>'Dashboard y Gráficos'!$R$1</c:f>
              <c:strCache>
                <c:ptCount val="1"/>
                <c:pt idx="0">
                  <c:v>Plata (COP/g)</c:v>
                </c:pt>
              </c:strCache>
            </c:strRef>
          </c:tx>
          <c:spPr>
            <a:ln>
              <a:solidFill>
                <a:srgbClr val="475569"/>
              </a:solidFill>
              <a:prstDash val="solid"/>
            </a:ln>
          </c:spPr>
          <c:marker>
            <c:symbol val="none"/>
          </c:marker>
          <c:val>
            <c:numRef>
              <c:f>'Dashboard y Gráficos'!$R$2:$R$463</c:f>
              <c:numCache>
                <c:formatCode>General</c:formatCode>
                <c:ptCount val="462"/>
                <c:pt idx="0">
                  <c:v>8434.2199999999993</c:v>
                </c:pt>
                <c:pt idx="1">
                  <c:v>8547.91</c:v>
                </c:pt>
                <c:pt idx="2">
                  <c:v>9137.01</c:v>
                </c:pt>
                <c:pt idx="3">
                  <c:v>9704.9</c:v>
                </c:pt>
                <c:pt idx="4">
                  <c:v>9203.81</c:v>
                </c:pt>
                <c:pt idx="5">
                  <c:v>9009.9599999999991</c:v>
                </c:pt>
                <c:pt idx="6">
                  <c:v>9418.1299999999992</c:v>
                </c:pt>
                <c:pt idx="7">
                  <c:v>9984.59</c:v>
                </c:pt>
                <c:pt idx="8">
                  <c:v>10253.4</c:v>
                </c:pt>
                <c:pt idx="9">
                  <c:v>10765.34</c:v>
                </c:pt>
                <c:pt idx="10">
                  <c:v>10846.03</c:v>
                </c:pt>
                <c:pt idx="11">
                  <c:v>10434.11</c:v>
                </c:pt>
                <c:pt idx="12">
                  <c:v>10329.43</c:v>
                </c:pt>
                <c:pt idx="13">
                  <c:v>11132.33</c:v>
                </c:pt>
                <c:pt idx="14">
                  <c:v>10894.09</c:v>
                </c:pt>
                <c:pt idx="15">
                  <c:v>11334.3</c:v>
                </c:pt>
                <c:pt idx="16">
                  <c:v>11716.15</c:v>
                </c:pt>
                <c:pt idx="17">
                  <c:v>13073.62</c:v>
                </c:pt>
                <c:pt idx="18">
                  <c:v>12488.96</c:v>
                </c:pt>
                <c:pt idx="19">
                  <c:v>13284.37</c:v>
                </c:pt>
                <c:pt idx="20">
                  <c:v>13450.5</c:v>
                </c:pt>
                <c:pt idx="21">
                  <c:v>9193.09</c:v>
                </c:pt>
                <c:pt idx="22">
                  <c:v>8954.5400000000009</c:v>
                </c:pt>
                <c:pt idx="23">
                  <c:v>9664.42</c:v>
                </c:pt>
                <c:pt idx="24">
                  <c:v>9862.4699999999993</c:v>
                </c:pt>
                <c:pt idx="25">
                  <c:v>8927.11</c:v>
                </c:pt>
                <c:pt idx="26">
                  <c:v>9124.89</c:v>
                </c:pt>
                <c:pt idx="27">
                  <c:v>9649.44</c:v>
                </c:pt>
                <c:pt idx="28">
                  <c:v>9460.69</c:v>
                </c:pt>
                <c:pt idx="29">
                  <c:v>9865.49</c:v>
                </c:pt>
                <c:pt idx="30">
                  <c:v>8912.7800000000007</c:v>
                </c:pt>
                <c:pt idx="31">
                  <c:v>9180.89</c:v>
                </c:pt>
                <c:pt idx="32">
                  <c:v>9056.56</c:v>
                </c:pt>
                <c:pt idx="33">
                  <c:v>8633.36</c:v>
                </c:pt>
                <c:pt idx="34">
                  <c:v>9129.9599999999991</c:v>
                </c:pt>
                <c:pt idx="35">
                  <c:v>9172.7900000000009</c:v>
                </c:pt>
                <c:pt idx="36">
                  <c:v>9785</c:v>
                </c:pt>
                <c:pt idx="37">
                  <c:v>10146.120000000001</c:v>
                </c:pt>
                <c:pt idx="38">
                  <c:v>10381.030000000001</c:v>
                </c:pt>
                <c:pt idx="39">
                  <c:v>10847.46</c:v>
                </c:pt>
                <c:pt idx="40">
                  <c:v>10342.629999999999</c:v>
                </c:pt>
                <c:pt idx="41">
                  <c:v>11216.81</c:v>
                </c:pt>
                <c:pt idx="42">
                  <c:v>10549.1</c:v>
                </c:pt>
                <c:pt idx="43">
                  <c:v>10053.09</c:v>
                </c:pt>
                <c:pt idx="44">
                  <c:v>10098.86</c:v>
                </c:pt>
                <c:pt idx="45">
                  <c:v>9872.5400000000009</c:v>
                </c:pt>
                <c:pt idx="46">
                  <c:v>10209</c:v>
                </c:pt>
                <c:pt idx="47">
                  <c:v>10028.41</c:v>
                </c:pt>
                <c:pt idx="48">
                  <c:v>10774.2</c:v>
                </c:pt>
                <c:pt idx="49">
                  <c:v>10143.950000000001</c:v>
                </c:pt>
                <c:pt idx="50">
                  <c:v>10081.49</c:v>
                </c:pt>
                <c:pt idx="51">
                  <c:v>9605.99</c:v>
                </c:pt>
                <c:pt idx="52">
                  <c:v>9389.48</c:v>
                </c:pt>
                <c:pt idx="53">
                  <c:v>9466.44</c:v>
                </c:pt>
                <c:pt idx="54">
                  <c:v>9186.5400000000009</c:v>
                </c:pt>
                <c:pt idx="55">
                  <c:v>8444.17</c:v>
                </c:pt>
                <c:pt idx="56">
                  <c:v>8230.73</c:v>
                </c:pt>
                <c:pt idx="57">
                  <c:v>8050.25</c:v>
                </c:pt>
                <c:pt idx="58">
                  <c:v>8261.99</c:v>
                </c:pt>
                <c:pt idx="59">
                  <c:v>8615.42</c:v>
                </c:pt>
                <c:pt idx="60">
                  <c:v>8047.64</c:v>
                </c:pt>
                <c:pt idx="61">
                  <c:v>8244.61</c:v>
                </c:pt>
                <c:pt idx="62">
                  <c:v>8210.94</c:v>
                </c:pt>
                <c:pt idx="63">
                  <c:v>8309.6</c:v>
                </c:pt>
                <c:pt idx="64">
                  <c:v>8841.32</c:v>
                </c:pt>
                <c:pt idx="65">
                  <c:v>8955.8700000000008</c:v>
                </c:pt>
                <c:pt idx="66">
                  <c:v>8560.51</c:v>
                </c:pt>
                <c:pt idx="67">
                  <c:v>8574.4500000000007</c:v>
                </c:pt>
                <c:pt idx="68">
                  <c:v>8600.26</c:v>
                </c:pt>
                <c:pt idx="69">
                  <c:v>8519.85</c:v>
                </c:pt>
                <c:pt idx="70">
                  <c:v>8816.5</c:v>
                </c:pt>
                <c:pt idx="71">
                  <c:v>8958.7000000000007</c:v>
                </c:pt>
                <c:pt idx="72">
                  <c:v>8964.2199999999993</c:v>
                </c:pt>
                <c:pt idx="73">
                  <c:v>8941.2000000000007</c:v>
                </c:pt>
                <c:pt idx="74">
                  <c:v>8736.94</c:v>
                </c:pt>
                <c:pt idx="75">
                  <c:v>9176.19</c:v>
                </c:pt>
                <c:pt idx="76">
                  <c:v>9239.2199999999993</c:v>
                </c:pt>
                <c:pt idx="77">
                  <c:v>9131</c:v>
                </c:pt>
                <c:pt idx="78">
                  <c:v>9494.82</c:v>
                </c:pt>
                <c:pt idx="79">
                  <c:v>9470.75</c:v>
                </c:pt>
                <c:pt idx="80">
                  <c:v>9198.84</c:v>
                </c:pt>
                <c:pt idx="81">
                  <c:v>8805.9599999999991</c:v>
                </c:pt>
                <c:pt idx="82">
                  <c:v>8947.8799999999992</c:v>
                </c:pt>
                <c:pt idx="83">
                  <c:v>8651.18</c:v>
                </c:pt>
                <c:pt idx="84">
                  <c:v>8756.42</c:v>
                </c:pt>
                <c:pt idx="85">
                  <c:v>8724.69</c:v>
                </c:pt>
                <c:pt idx="86">
                  <c:v>8733.7900000000009</c:v>
                </c:pt>
                <c:pt idx="87">
                  <c:v>8496.9500000000007</c:v>
                </c:pt>
                <c:pt idx="88">
                  <c:v>8361.75</c:v>
                </c:pt>
                <c:pt idx="89">
                  <c:v>8641.24</c:v>
                </c:pt>
                <c:pt idx="90">
                  <c:v>8925.27</c:v>
                </c:pt>
                <c:pt idx="91">
                  <c:v>8926.42</c:v>
                </c:pt>
                <c:pt idx="92">
                  <c:v>8757.98</c:v>
                </c:pt>
                <c:pt idx="93">
                  <c:v>8726.9699999999993</c:v>
                </c:pt>
                <c:pt idx="94">
                  <c:v>9199.15</c:v>
                </c:pt>
                <c:pt idx="95">
                  <c:v>9578.25</c:v>
                </c:pt>
                <c:pt idx="96">
                  <c:v>9661.65</c:v>
                </c:pt>
                <c:pt idx="97">
                  <c:v>9689.51</c:v>
                </c:pt>
                <c:pt idx="98">
                  <c:v>10335</c:v>
                </c:pt>
                <c:pt idx="99">
                  <c:v>10362.969999999999</c:v>
                </c:pt>
                <c:pt idx="100">
                  <c:v>10838.61</c:v>
                </c:pt>
                <c:pt idx="101">
                  <c:v>10341.129999999999</c:v>
                </c:pt>
                <c:pt idx="102">
                  <c:v>9397.16</c:v>
                </c:pt>
                <c:pt idx="103">
                  <c:v>9420.43</c:v>
                </c:pt>
                <c:pt idx="104">
                  <c:v>9410.33</c:v>
                </c:pt>
                <c:pt idx="105">
                  <c:v>9124.51</c:v>
                </c:pt>
                <c:pt idx="106">
                  <c:v>9083.67</c:v>
                </c:pt>
                <c:pt idx="107">
                  <c:v>9067.51</c:v>
                </c:pt>
                <c:pt idx="108">
                  <c:v>9005.69</c:v>
                </c:pt>
                <c:pt idx="109">
                  <c:v>8979.09</c:v>
                </c:pt>
                <c:pt idx="110">
                  <c:v>8863.6299999999992</c:v>
                </c:pt>
                <c:pt idx="111">
                  <c:v>9008.85</c:v>
                </c:pt>
                <c:pt idx="112">
                  <c:v>8719.82</c:v>
                </c:pt>
                <c:pt idx="113">
                  <c:v>8880.1200000000008</c:v>
                </c:pt>
                <c:pt idx="114">
                  <c:v>8876.7099999999991</c:v>
                </c:pt>
                <c:pt idx="115">
                  <c:v>8944.7900000000009</c:v>
                </c:pt>
                <c:pt idx="116">
                  <c:v>8598.36</c:v>
                </c:pt>
                <c:pt idx="117">
                  <c:v>8685.85</c:v>
                </c:pt>
                <c:pt idx="118">
                  <c:v>8445.42</c:v>
                </c:pt>
                <c:pt idx="119">
                  <c:v>8486.41</c:v>
                </c:pt>
                <c:pt idx="120">
                  <c:v>7930.15</c:v>
                </c:pt>
                <c:pt idx="121">
                  <c:v>7989.09</c:v>
                </c:pt>
                <c:pt idx="122">
                  <c:v>7904.45</c:v>
                </c:pt>
                <c:pt idx="123">
                  <c:v>7481.71</c:v>
                </c:pt>
                <c:pt idx="124">
                  <c:v>7391.02</c:v>
                </c:pt>
                <c:pt idx="125">
                  <c:v>7189.09</c:v>
                </c:pt>
                <c:pt idx="126">
                  <c:v>7636.29</c:v>
                </c:pt>
                <c:pt idx="127">
                  <c:v>7615.9</c:v>
                </c:pt>
                <c:pt idx="128">
                  <c:v>7861.16</c:v>
                </c:pt>
                <c:pt idx="129">
                  <c:v>7715.9</c:v>
                </c:pt>
                <c:pt idx="130">
                  <c:v>7861.61</c:v>
                </c:pt>
                <c:pt idx="131">
                  <c:v>7337.25</c:v>
                </c:pt>
                <c:pt idx="132">
                  <c:v>7338.76</c:v>
                </c:pt>
                <c:pt idx="133">
                  <c:v>7254.14</c:v>
                </c:pt>
                <c:pt idx="134">
                  <c:v>6837.27</c:v>
                </c:pt>
                <c:pt idx="135">
                  <c:v>6425.47</c:v>
                </c:pt>
                <c:pt idx="136">
                  <c:v>6464.07</c:v>
                </c:pt>
                <c:pt idx="137">
                  <c:v>6560.34</c:v>
                </c:pt>
                <c:pt idx="138">
                  <c:v>6545.32</c:v>
                </c:pt>
                <c:pt idx="139">
                  <c:v>6440.15</c:v>
                </c:pt>
                <c:pt idx="140">
                  <c:v>6557.92</c:v>
                </c:pt>
                <c:pt idx="141">
                  <c:v>6543.39</c:v>
                </c:pt>
                <c:pt idx="142">
                  <c:v>6564.5</c:v>
                </c:pt>
                <c:pt idx="143">
                  <c:v>6521.65</c:v>
                </c:pt>
                <c:pt idx="144">
                  <c:v>6675.52</c:v>
                </c:pt>
                <c:pt idx="145">
                  <c:v>6539.36</c:v>
                </c:pt>
                <c:pt idx="146">
                  <c:v>6251.67</c:v>
                </c:pt>
                <c:pt idx="147">
                  <c:v>6394.65</c:v>
                </c:pt>
                <c:pt idx="148">
                  <c:v>6334.39</c:v>
                </c:pt>
                <c:pt idx="149">
                  <c:v>6273.82</c:v>
                </c:pt>
                <c:pt idx="150">
                  <c:v>5996.16</c:v>
                </c:pt>
                <c:pt idx="151">
                  <c:v>6160.11</c:v>
                </c:pt>
                <c:pt idx="152">
                  <c:v>5933.36</c:v>
                </c:pt>
                <c:pt idx="153">
                  <c:v>5821.01</c:v>
                </c:pt>
                <c:pt idx="154">
                  <c:v>5835.59</c:v>
                </c:pt>
                <c:pt idx="155">
                  <c:v>5889.22</c:v>
                </c:pt>
                <c:pt idx="156">
                  <c:v>5946.32</c:v>
                </c:pt>
                <c:pt idx="157">
                  <c:v>6105.01</c:v>
                </c:pt>
                <c:pt idx="158">
                  <c:v>6204.69</c:v>
                </c:pt>
                <c:pt idx="159">
                  <c:v>5969.9</c:v>
                </c:pt>
                <c:pt idx="160">
                  <c:v>6058.52</c:v>
                </c:pt>
                <c:pt idx="161">
                  <c:v>6066.56</c:v>
                </c:pt>
                <c:pt idx="162">
                  <c:v>6023.9</c:v>
                </c:pt>
                <c:pt idx="163">
                  <c:v>5915.22</c:v>
                </c:pt>
                <c:pt idx="164">
                  <c:v>5954.31</c:v>
                </c:pt>
                <c:pt idx="165">
                  <c:v>5903.4</c:v>
                </c:pt>
                <c:pt idx="166">
                  <c:v>5780.55</c:v>
                </c:pt>
                <c:pt idx="167">
                  <c:v>5802.02</c:v>
                </c:pt>
                <c:pt idx="168">
                  <c:v>6011.03</c:v>
                </c:pt>
                <c:pt idx="169">
                  <c:v>6193.11</c:v>
                </c:pt>
                <c:pt idx="170">
                  <c:v>6350.84</c:v>
                </c:pt>
                <c:pt idx="171">
                  <c:v>6239.23</c:v>
                </c:pt>
                <c:pt idx="172">
                  <c:v>6431.47</c:v>
                </c:pt>
                <c:pt idx="173">
                  <c:v>6426.01</c:v>
                </c:pt>
                <c:pt idx="174">
                  <c:v>6606.01</c:v>
                </c:pt>
                <c:pt idx="175">
                  <c:v>6518.69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BE6-4F25-9BBC-2C68C85D5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date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Fecha</a:t>
                </a:r>
              </a:p>
            </c:rich>
          </c:tx>
          <c:overlay val="1"/>
        </c:title>
        <c:numFmt formatCode="yyyy\-mm\-dd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Oro (COP/g)</a:t>
                </a:r>
              </a:p>
            </c:rich>
          </c:tx>
          <c:overlay val="1"/>
        </c:title>
        <c:numFmt formatCode="&quot;$&quot;#,##0" sourceLinked="0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Plata (COP/g)</a:t>
                </a:r>
              </a:p>
            </c:rich>
          </c:tx>
          <c:overlay val="1"/>
        </c:title>
        <c:numFmt formatCode="&quot;$&quot;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10</xdr:row>
      <xdr:rowOff>0</xdr:rowOff>
    </xdr:from>
    <xdr:ext cx="61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26</xdr:row>
      <xdr:rowOff>0</xdr:rowOff>
    </xdr:from>
    <xdr:ext cx="1224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3"/>
  <sheetViews>
    <sheetView topLeftCell="A12" workbookViewId="0">
      <selection activeCell="A8" sqref="A8:D8"/>
    </sheetView>
  </sheetViews>
  <sheetFormatPr baseColWidth="10" defaultColWidth="8.7265625" defaultRowHeight="14.5"/>
  <cols>
    <col min="1" max="15" width="12" customWidth="1"/>
  </cols>
  <sheetData>
    <row r="1" spans="1:18" ht="36" customHeight="1">
      <c r="A1" s="22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P1" t="s">
        <v>1</v>
      </c>
      <c r="Q1" t="s">
        <v>2</v>
      </c>
      <c r="R1" t="s">
        <v>3</v>
      </c>
    </row>
    <row r="2" spans="1:18">
      <c r="P2" s="1">
        <f ca="1">IF(1&lt;=$I$8, INDEX('Precios Diarios'!$A$2:$A$463, $G$8 - 1 + 1 - 1), NA())</f>
        <v>46022</v>
      </c>
      <c r="Q2">
        <f ca="1">IF(1&lt;=$I$8, INDEX('Precios Diarios'!$E$2:$E$463, $G$8 - 1 + 1 - 1), NA())</f>
        <v>520190.53</v>
      </c>
      <c r="R2">
        <f ca="1">IF(1&lt;=$I$8, INDEX('Precios Diarios'!$F$2:$F$463, $G$8 - 1 + 1 - 1), NA())</f>
        <v>8434.2199999999993</v>
      </c>
    </row>
    <row r="3" spans="1:18">
      <c r="A3" s="17" t="s">
        <v>4</v>
      </c>
      <c r="B3" s="18"/>
      <c r="C3" s="18"/>
      <c r="D3" s="17" t="s">
        <v>5</v>
      </c>
      <c r="E3" s="18"/>
      <c r="F3" s="18"/>
      <c r="G3" s="17" t="s">
        <v>6</v>
      </c>
      <c r="H3" s="18"/>
      <c r="I3" s="18"/>
      <c r="J3" s="17" t="s">
        <v>7</v>
      </c>
      <c r="K3" s="18"/>
      <c r="L3" s="18"/>
      <c r="M3" s="17" t="s">
        <v>8</v>
      </c>
      <c r="N3" s="18"/>
      <c r="P3" s="1">
        <f ca="1">IF(2&lt;=$I$8, INDEX('Precios Diarios'!$A$2:$A$463, $G$8 - 1 + 2 - 1), NA())</f>
        <v>46024</v>
      </c>
      <c r="Q3">
        <f ca="1">IF(2&lt;=$I$8, INDEX('Precios Diarios'!$E$2:$E$463, $G$8 - 1 + 2 - 1), NA())</f>
        <v>522692.84</v>
      </c>
      <c r="R3">
        <f ca="1">IF(2&lt;=$I$8, INDEX('Precios Diarios'!$F$2:$F$463, $G$8 - 1 + 2 - 1), NA())</f>
        <v>8547.91</v>
      </c>
    </row>
    <row r="4" spans="1:18">
      <c r="A4" s="19">
        <f>'Precios Diarios'!A463</f>
        <v>46245</v>
      </c>
      <c r="B4" s="18"/>
      <c r="C4" s="18"/>
      <c r="D4" s="20">
        <f>'Precios Diarios'!E463</f>
        <v>445260.81</v>
      </c>
      <c r="E4" s="18"/>
      <c r="F4" s="18"/>
      <c r="G4" s="20">
        <f>'Precios Diarios'!F463</f>
        <v>6518.69</v>
      </c>
      <c r="H4" s="18"/>
      <c r="I4" s="18"/>
      <c r="J4" s="20">
        <f>'Precios Diarios'!D463</f>
        <v>3129.39990234375</v>
      </c>
      <c r="K4" s="18"/>
      <c r="L4" s="18"/>
      <c r="M4" s="21">
        <f>'Precios Diarios'!G463</f>
        <v>6.0749408554142533E-3</v>
      </c>
      <c r="N4" s="18"/>
      <c r="P4" s="1">
        <f ca="1">IF(3&lt;=$I$8, INDEX('Precios Diarios'!$A$2:$A$463, $G$8 - 1 + 3 - 1), NA())</f>
        <v>46027</v>
      </c>
      <c r="Q4">
        <f ca="1">IF(3&lt;=$I$8, INDEX('Precios Diarios'!$E$2:$E$463, $G$8 - 1 + 3 - 1), NA())</f>
        <v>532272.53</v>
      </c>
      <c r="R4">
        <f ca="1">IF(3&lt;=$I$8, INDEX('Precios Diarios'!$F$2:$F$463, $G$8 - 1 + 3 - 1), NA())</f>
        <v>9137.01</v>
      </c>
    </row>
    <row r="5" spans="1:18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P5" s="1">
        <f ca="1">IF(4&lt;=$I$8, INDEX('Precios Diarios'!$A$2:$A$463, $G$8 - 1 + 4 - 1), NA())</f>
        <v>46028</v>
      </c>
      <c r="Q5">
        <f ca="1">IF(4&lt;=$I$8, INDEX('Precios Diarios'!$E$2:$E$463, $G$8 - 1 + 4 - 1), NA())</f>
        <v>540162.93000000005</v>
      </c>
      <c r="R5">
        <f ca="1">IF(4&lt;=$I$8, INDEX('Precios Diarios'!$F$2:$F$463, $G$8 - 1 + 4 - 1), NA())</f>
        <v>9704.9</v>
      </c>
    </row>
    <row r="6" spans="1:18">
      <c r="P6" s="1">
        <f ca="1">IF(5&lt;=$I$8, INDEX('Precios Diarios'!$A$2:$A$463, $G$8 - 1 + 5 - 1), NA())</f>
        <v>46029</v>
      </c>
      <c r="Q6">
        <f ca="1">IF(5&lt;=$I$8, INDEX('Precios Diarios'!$E$2:$E$463, $G$8 - 1 + 5 - 1), NA())</f>
        <v>530893.77</v>
      </c>
      <c r="R6">
        <f ca="1">IF(5&lt;=$I$8, INDEX('Precios Diarios'!$F$2:$F$463, $G$8 - 1 + 5 - 1), NA())</f>
        <v>9203.81</v>
      </c>
    </row>
    <row r="7" spans="1:18" ht="16">
      <c r="A7" s="16" t="s">
        <v>9</v>
      </c>
      <c r="B7" s="15"/>
      <c r="C7" s="15"/>
      <c r="D7" s="15"/>
      <c r="P7" s="1">
        <f ca="1">IF(6&lt;=$I$8, INDEX('Precios Diarios'!$A$2:$A$463, $G$8 - 1 + 6 - 1), NA())</f>
        <v>46030</v>
      </c>
      <c r="Q7">
        <f ca="1">IF(6&lt;=$I$8, INDEX('Precios Diarios'!$E$2:$E$463, $G$8 - 1 + 6 - 1), NA())</f>
        <v>536586.73</v>
      </c>
      <c r="R7">
        <f ca="1">IF(6&lt;=$I$8, INDEX('Precios Diarios'!$F$2:$F$463, $G$8 - 1 + 6 - 1), NA())</f>
        <v>9009.9599999999991</v>
      </c>
    </row>
    <row r="8" spans="1:18" ht="24" customHeight="1">
      <c r="A8" s="14" t="s">
        <v>15</v>
      </c>
      <c r="B8" s="15"/>
      <c r="C8" s="15"/>
      <c r="D8" s="15"/>
      <c r="E8" s="2">
        <f ca="1">IF(A8="Año 2025", DATE(2025,1,1), IF(A8="Año 2026", DATE(2026,1,1), IF(A8="Últimos 90 Días", TODAY()-90, IF(A8="Últimos 30 Días", TODAY()-30, DATE(2025,1,1)))))</f>
        <v>46023</v>
      </c>
      <c r="F8" s="2">
        <f ca="1">IF(A8="Año 2025", DATE(2025,12,31), IF(A8="Año 2026", DATE(2026,12,31), TODAY()))</f>
        <v>46387</v>
      </c>
      <c r="G8" s="3">
        <f ca="1">IFERROR(MATCH(E8, 'Precios Diarios'!$A$2:$A$463, 1), 1) + 1</f>
        <v>288</v>
      </c>
      <c r="H8" s="3">
        <f ca="1">IFERROR(MATCH(F8, 'Precios Diarios'!$A$2:$A$463, 1), 462) + 1</f>
        <v>463</v>
      </c>
      <c r="I8" s="3">
        <f ca="1">MAX(1, H8 - G8 + 1)</f>
        <v>176</v>
      </c>
      <c r="P8" s="1">
        <f ca="1">IF(7&lt;=$I$8, INDEX('Precios Diarios'!$A$2:$A$463, $G$8 - 1 + 7 - 1), NA())</f>
        <v>46031</v>
      </c>
      <c r="Q8">
        <f ca="1">IF(7&lt;=$I$8, INDEX('Precios Diarios'!$E$2:$E$463, $G$8 - 1 + 7 - 1), NA())</f>
        <v>536106.41</v>
      </c>
      <c r="R8">
        <f ca="1">IF(7&lt;=$I$8, INDEX('Precios Diarios'!$F$2:$F$463, $G$8 - 1 + 7 - 1), NA())</f>
        <v>9418.1299999999992</v>
      </c>
    </row>
    <row r="9" spans="1:18">
      <c r="A9" s="4" t="s">
        <v>10</v>
      </c>
      <c r="P9" s="1">
        <f ca="1">IF(8&lt;=$I$8, INDEX('Precios Diarios'!$A$2:$A$463, $G$8 - 1 + 8 - 1), NA())</f>
        <v>46034</v>
      </c>
      <c r="Q9">
        <f ca="1">IF(8&lt;=$I$8, INDEX('Precios Diarios'!$E$2:$E$463, $G$8 - 1 + 8 - 1), NA())</f>
        <v>543340.43999999994</v>
      </c>
      <c r="R9">
        <f ca="1">IF(8&lt;=$I$8, INDEX('Precios Diarios'!$F$2:$F$463, $G$8 - 1 + 8 - 1), NA())</f>
        <v>9984.59</v>
      </c>
    </row>
    <row r="10" spans="1:18">
      <c r="P10" s="1">
        <f ca="1">IF(9&lt;=$I$8, INDEX('Precios Diarios'!$A$2:$A$463, $G$8 - 1 + 9 - 1), NA())</f>
        <v>46035</v>
      </c>
      <c r="Q10">
        <f ca="1">IF(9&lt;=$I$8, INDEX('Precios Diarios'!$E$2:$E$463, $G$8 - 1 + 9 - 1), NA())</f>
        <v>547933.5</v>
      </c>
      <c r="R10">
        <f ca="1">IF(9&lt;=$I$8, INDEX('Precios Diarios'!$F$2:$F$463, $G$8 - 1 + 9 - 1), NA())</f>
        <v>10253.4</v>
      </c>
    </row>
    <row r="11" spans="1:18">
      <c r="P11" s="1">
        <f ca="1">IF(10&lt;=$I$8, INDEX('Precios Diarios'!$A$2:$A$463, $G$8 - 1 + 10 - 1), NA())</f>
        <v>46036</v>
      </c>
      <c r="Q11">
        <f ca="1">IF(10&lt;=$I$8, INDEX('Precios Diarios'!$E$2:$E$463, $G$8 - 1 + 10 - 1), NA())</f>
        <v>548082.38</v>
      </c>
      <c r="R11">
        <f ca="1">IF(10&lt;=$I$8, INDEX('Precios Diarios'!$F$2:$F$463, $G$8 - 1 + 10 - 1), NA())</f>
        <v>10765.34</v>
      </c>
    </row>
    <row r="12" spans="1:18">
      <c r="P12" s="1">
        <f ca="1">IF(11&lt;=$I$8, INDEX('Precios Diarios'!$A$2:$A$463, $G$8 - 1 + 11 - 1), NA())</f>
        <v>46037</v>
      </c>
      <c r="Q12">
        <f ca="1">IF(11&lt;=$I$8, INDEX('Precios Diarios'!$E$2:$E$463, $G$8 - 1 + 11 - 1), NA())</f>
        <v>544957.84</v>
      </c>
      <c r="R12">
        <f ca="1">IF(11&lt;=$I$8, INDEX('Precios Diarios'!$F$2:$F$463, $G$8 - 1 + 11 - 1), NA())</f>
        <v>10846.03</v>
      </c>
    </row>
    <row r="13" spans="1:18">
      <c r="P13" s="1">
        <f ca="1">IF(12&lt;=$I$8, INDEX('Precios Diarios'!$A$2:$A$463, $G$8 - 1 + 12 - 1), NA())</f>
        <v>46038</v>
      </c>
      <c r="Q13">
        <f ca="1">IF(12&lt;=$I$8, INDEX('Precios Diarios'!$E$2:$E$463, $G$8 - 1 + 12 - 1), NA())</f>
        <v>543481.69999999995</v>
      </c>
      <c r="R13">
        <f ca="1">IF(12&lt;=$I$8, INDEX('Precios Diarios'!$F$2:$F$463, $G$8 - 1 + 12 - 1), NA())</f>
        <v>10434.11</v>
      </c>
    </row>
    <row r="14" spans="1:18">
      <c r="P14" s="1">
        <f ca="1">IF(13&lt;=$I$8, INDEX('Precios Diarios'!$A$2:$A$463, $G$8 - 1 + 13 - 1), NA())</f>
        <v>46041</v>
      </c>
      <c r="Q14">
        <f ca="1">IF(13&lt;=$I$8, INDEX('Precios Diarios'!$E$2:$E$463, $G$8 - 1 + 13 - 1), NA())</f>
        <v>538029.35</v>
      </c>
      <c r="R14">
        <f ca="1">IF(13&lt;=$I$8, INDEX('Precios Diarios'!$F$2:$F$463, $G$8 - 1 + 13 - 1), NA())</f>
        <v>10329.43</v>
      </c>
    </row>
    <row r="15" spans="1:18">
      <c r="P15" s="1">
        <f ca="1">IF(14&lt;=$I$8, INDEX('Precios Diarios'!$A$2:$A$463, $G$8 - 1 + 14 - 1), NA())</f>
        <v>46042</v>
      </c>
      <c r="Q15">
        <f ca="1">IF(14&lt;=$I$8, INDEX('Precios Diarios'!$E$2:$E$463, $G$8 - 1 + 14 - 1), NA())</f>
        <v>562442.27</v>
      </c>
      <c r="R15">
        <f ca="1">IF(14&lt;=$I$8, INDEX('Precios Diarios'!$F$2:$F$463, $G$8 - 1 + 14 - 1), NA())</f>
        <v>11132.33</v>
      </c>
    </row>
    <row r="16" spans="1:18">
      <c r="P16" s="1">
        <f ca="1">IF(15&lt;=$I$8, INDEX('Precios Diarios'!$A$2:$A$463, $G$8 - 1 + 15 - 1), NA())</f>
        <v>46043</v>
      </c>
      <c r="Q16">
        <f ca="1">IF(15&lt;=$I$8, INDEX('Precios Diarios'!$E$2:$E$463, $G$8 - 1 + 15 - 1), NA())</f>
        <v>570849.82999999996</v>
      </c>
      <c r="R16">
        <f ca="1">IF(15&lt;=$I$8, INDEX('Precios Diarios'!$F$2:$F$463, $G$8 - 1 + 15 - 1), NA())</f>
        <v>10894.09</v>
      </c>
    </row>
    <row r="17" spans="16:18">
      <c r="P17" s="1">
        <f ca="1">IF(16&lt;=$I$8, INDEX('Precios Diarios'!$A$2:$A$463, $G$8 - 1 + 16 - 1), NA())</f>
        <v>46044</v>
      </c>
      <c r="Q17">
        <f ca="1">IF(16&lt;=$I$8, INDEX('Precios Diarios'!$E$2:$E$463, $G$8 - 1 + 16 - 1), NA())</f>
        <v>579705.48</v>
      </c>
      <c r="R17">
        <f ca="1">IF(16&lt;=$I$8, INDEX('Precios Diarios'!$F$2:$F$463, $G$8 - 1 + 16 - 1), NA())</f>
        <v>11334.3</v>
      </c>
    </row>
    <row r="18" spans="16:18">
      <c r="P18" s="1">
        <f ca="1">IF(17&lt;=$I$8, INDEX('Precios Diarios'!$A$2:$A$463, $G$8 - 1 + 17 - 1), NA())</f>
        <v>46045</v>
      </c>
      <c r="Q18">
        <f ca="1">IF(17&lt;=$I$8, INDEX('Precios Diarios'!$E$2:$E$463, $G$8 - 1 + 17 - 1), NA())</f>
        <v>577675.46</v>
      </c>
      <c r="R18">
        <f ca="1">IF(17&lt;=$I$8, INDEX('Precios Diarios'!$F$2:$F$463, $G$8 - 1 + 17 - 1), NA())</f>
        <v>11716.15</v>
      </c>
    </row>
    <row r="19" spans="16:18">
      <c r="P19" s="1">
        <f ca="1">IF(18&lt;=$I$8, INDEX('Precios Diarios'!$A$2:$A$463, $G$8 - 1 + 18 - 1), NA())</f>
        <v>46048</v>
      </c>
      <c r="Q19">
        <f ca="1">IF(18&lt;=$I$8, INDEX('Precios Diarios'!$E$2:$E$463, $G$8 - 1 + 18 - 1), NA())</f>
        <v>577077.55000000005</v>
      </c>
      <c r="R19">
        <f ca="1">IF(18&lt;=$I$8, INDEX('Precios Diarios'!$F$2:$F$463, $G$8 - 1 + 18 - 1), NA())</f>
        <v>13073.62</v>
      </c>
    </row>
    <row r="20" spans="16:18">
      <c r="P20" s="1">
        <f ca="1">IF(19&lt;=$I$8, INDEX('Precios Diarios'!$A$2:$A$463, $G$8 - 1 + 19 - 1), NA())</f>
        <v>46049</v>
      </c>
      <c r="Q20">
        <f ca="1">IF(19&lt;=$I$8, INDEX('Precios Diarios'!$E$2:$E$463, $G$8 - 1 + 19 - 1), NA())</f>
        <v>601221.42000000004</v>
      </c>
      <c r="R20">
        <f ca="1">IF(19&lt;=$I$8, INDEX('Precios Diarios'!$F$2:$F$463, $G$8 - 1 + 19 - 1), NA())</f>
        <v>12488.96</v>
      </c>
    </row>
    <row r="21" spans="16:18">
      <c r="P21" s="1">
        <f ca="1">IF(20&lt;=$I$8, INDEX('Precios Diarios'!$A$2:$A$463, $G$8 - 1 + 20 - 1), NA())</f>
        <v>46050</v>
      </c>
      <c r="Q21">
        <f ca="1">IF(20&lt;=$I$8, INDEX('Precios Diarios'!$E$2:$E$463, $G$8 - 1 + 20 - 1), NA())</f>
        <v>622648.49</v>
      </c>
      <c r="R21">
        <f ca="1">IF(20&lt;=$I$8, INDEX('Precios Diarios'!$F$2:$F$463, $G$8 - 1 + 20 - 1), NA())</f>
        <v>13284.37</v>
      </c>
    </row>
    <row r="22" spans="16:18">
      <c r="P22" s="1">
        <f ca="1">IF(21&lt;=$I$8, INDEX('Precios Diarios'!$A$2:$A$463, $G$8 - 1 + 21 - 1), NA())</f>
        <v>46051</v>
      </c>
      <c r="Q22">
        <f ca="1">IF(21&lt;=$I$8, INDEX('Precios Diarios'!$E$2:$E$463, $G$8 - 1 + 21 - 1), NA())</f>
        <v>627297.57999999996</v>
      </c>
      <c r="R22">
        <f ca="1">IF(21&lt;=$I$8, INDEX('Precios Diarios'!$F$2:$F$463, $G$8 - 1 + 21 - 1), NA())</f>
        <v>13450.5</v>
      </c>
    </row>
    <row r="23" spans="16:18">
      <c r="P23" s="1">
        <f ca="1">IF(22&lt;=$I$8, INDEX('Precios Diarios'!$A$2:$A$463, $G$8 - 1 + 22 - 1), NA())</f>
        <v>46052</v>
      </c>
      <c r="Q23">
        <f ca="1">IF(22&lt;=$I$8, INDEX('Precios Diarios'!$E$2:$E$463, $G$8 - 1 + 22 - 1), NA())</f>
        <v>553522.76</v>
      </c>
      <c r="R23">
        <f ca="1">IF(22&lt;=$I$8, INDEX('Precios Diarios'!$F$2:$F$463, $G$8 - 1 + 22 - 1), NA())</f>
        <v>9193.09</v>
      </c>
    </row>
    <row r="24" spans="16:18">
      <c r="P24" s="1">
        <f ca="1">IF(23&lt;=$I$8, INDEX('Precios Diarios'!$A$2:$A$463, $G$8 - 1 + 23 - 1), NA())</f>
        <v>46055</v>
      </c>
      <c r="Q24">
        <f ca="1">IF(23&lt;=$I$8, INDEX('Precios Diarios'!$E$2:$E$463, $G$8 - 1 + 23 - 1), NA())</f>
        <v>539117.59</v>
      </c>
      <c r="R24">
        <f ca="1">IF(23&lt;=$I$8, INDEX('Precios Diarios'!$F$2:$F$463, $G$8 - 1 + 23 - 1), NA())</f>
        <v>8954.5400000000009</v>
      </c>
    </row>
    <row r="25" spans="16:18">
      <c r="P25" s="1">
        <f ca="1">IF(24&lt;=$I$8, INDEX('Precios Diarios'!$A$2:$A$463, $G$8 - 1 + 24 - 1), NA())</f>
        <v>46056</v>
      </c>
      <c r="Q25">
        <f ca="1">IF(24&lt;=$I$8, INDEX('Precios Diarios'!$E$2:$E$463, $G$8 - 1 + 24 - 1), NA())</f>
        <v>570692.22</v>
      </c>
      <c r="R25">
        <f ca="1">IF(24&lt;=$I$8, INDEX('Precios Diarios'!$F$2:$F$463, $G$8 - 1 + 24 - 1), NA())</f>
        <v>9664.42</v>
      </c>
    </row>
    <row r="26" spans="16:18">
      <c r="P26" s="1">
        <f ca="1">IF(25&lt;=$I$8, INDEX('Precios Diarios'!$A$2:$A$463, $G$8 - 1 + 25 - 1), NA())</f>
        <v>46057</v>
      </c>
      <c r="Q26">
        <f ca="1">IF(25&lt;=$I$8, INDEX('Precios Diarios'!$E$2:$E$463, $G$8 - 1 + 25 - 1), NA())</f>
        <v>576573.18000000005</v>
      </c>
      <c r="R26">
        <f ca="1">IF(25&lt;=$I$8, INDEX('Precios Diarios'!$F$2:$F$463, $G$8 - 1 + 25 - 1), NA())</f>
        <v>9862.4699999999993</v>
      </c>
    </row>
    <row r="27" spans="16:18">
      <c r="P27" s="1">
        <f ca="1">IF(26&lt;=$I$8, INDEX('Precios Diarios'!$A$2:$A$463, $G$8 - 1 + 26 - 1), NA())</f>
        <v>46058</v>
      </c>
      <c r="Q27">
        <f ca="1">IF(26&lt;=$I$8, INDEX('Precios Diarios'!$E$2:$E$463, $G$8 - 1 + 26 - 1), NA())</f>
        <v>567082.21</v>
      </c>
      <c r="R27">
        <f ca="1">IF(26&lt;=$I$8, INDEX('Precios Diarios'!$F$2:$F$463, $G$8 - 1 + 26 - 1), NA())</f>
        <v>8927.11</v>
      </c>
    </row>
    <row r="28" spans="16:18">
      <c r="P28" s="1">
        <f ca="1">IF(27&lt;=$I$8, INDEX('Precios Diarios'!$A$2:$A$463, $G$8 - 1 + 27 - 1), NA())</f>
        <v>46059</v>
      </c>
      <c r="Q28">
        <f ca="1">IF(27&lt;=$I$8, INDEX('Precios Diarios'!$E$2:$E$463, $G$8 - 1 + 27 - 1), NA())</f>
        <v>588768.78</v>
      </c>
      <c r="R28">
        <f ca="1">IF(27&lt;=$I$8, INDEX('Precios Diarios'!$F$2:$F$463, $G$8 - 1 + 27 - 1), NA())</f>
        <v>9124.89</v>
      </c>
    </row>
    <row r="29" spans="16:18">
      <c r="P29" s="1">
        <f ca="1">IF(28&lt;=$I$8, INDEX('Precios Diarios'!$A$2:$A$463, $G$8 - 1 + 28 - 1), NA())</f>
        <v>46062</v>
      </c>
      <c r="Q29">
        <f ca="1">IF(28&lt;=$I$8, INDEX('Precios Diarios'!$E$2:$E$463, $G$8 - 1 + 28 - 1), NA())</f>
        <v>593899.47</v>
      </c>
      <c r="R29">
        <f ca="1">IF(28&lt;=$I$8, INDEX('Precios Diarios'!$F$2:$F$463, $G$8 - 1 + 28 - 1), NA())</f>
        <v>9649.44</v>
      </c>
    </row>
    <row r="30" spans="16:18">
      <c r="P30" s="1">
        <f ca="1">IF(29&lt;=$I$8, INDEX('Precios Diarios'!$A$2:$A$463, $G$8 - 1 + 29 - 1), NA())</f>
        <v>46063</v>
      </c>
      <c r="Q30">
        <f ca="1">IF(29&lt;=$I$8, INDEX('Precios Diarios'!$E$2:$E$463, $G$8 - 1 + 29 - 1), NA())</f>
        <v>590134.63</v>
      </c>
      <c r="R30">
        <f ca="1">IF(29&lt;=$I$8, INDEX('Precios Diarios'!$F$2:$F$463, $G$8 - 1 + 29 - 1), NA())</f>
        <v>9460.69</v>
      </c>
    </row>
    <row r="31" spans="16:18">
      <c r="P31" s="1">
        <f ca="1">IF(30&lt;=$I$8, INDEX('Precios Diarios'!$A$2:$A$463, $G$8 - 1 + 30 - 1), NA())</f>
        <v>46064</v>
      </c>
      <c r="Q31">
        <f ca="1">IF(30&lt;=$I$8, INDEX('Precios Diarios'!$E$2:$E$463, $G$8 - 1 + 30 - 1), NA())</f>
        <v>597390.53</v>
      </c>
      <c r="R31">
        <f ca="1">IF(30&lt;=$I$8, INDEX('Precios Diarios'!$F$2:$F$463, $G$8 - 1 + 30 - 1), NA())</f>
        <v>9865.49</v>
      </c>
    </row>
    <row r="32" spans="16:18">
      <c r="P32" s="1">
        <f ca="1">IF(31&lt;=$I$8, INDEX('Precios Diarios'!$A$2:$A$463, $G$8 - 1 + 31 - 1), NA())</f>
        <v>46065</v>
      </c>
      <c r="Q32">
        <f ca="1">IF(31&lt;=$I$8, INDEX('Precios Diarios'!$E$2:$E$463, $G$8 - 1 + 31 - 1), NA())</f>
        <v>580888.93999999994</v>
      </c>
      <c r="R32">
        <f ca="1">IF(31&lt;=$I$8, INDEX('Precios Diarios'!$F$2:$F$463, $G$8 - 1 + 31 - 1), NA())</f>
        <v>8912.7800000000007</v>
      </c>
    </row>
    <row r="33" spans="16:18">
      <c r="P33" s="1">
        <f ca="1">IF(32&lt;=$I$8, INDEX('Precios Diarios'!$A$2:$A$463, $G$8 - 1 + 32 - 1), NA())</f>
        <v>46066</v>
      </c>
      <c r="Q33">
        <f ca="1">IF(32&lt;=$I$8, INDEX('Precios Diarios'!$E$2:$E$463, $G$8 - 1 + 32 - 1), NA())</f>
        <v>592239.13</v>
      </c>
      <c r="R33">
        <f ca="1">IF(32&lt;=$I$8, INDEX('Precios Diarios'!$F$2:$F$463, $G$8 - 1 + 32 - 1), NA())</f>
        <v>9180.89</v>
      </c>
    </row>
    <row r="34" spans="16:18">
      <c r="P34" s="1">
        <f ca="1">IF(33&lt;=$I$8, INDEX('Precios Diarios'!$A$2:$A$463, $G$8 - 1 + 33 - 1), NA())</f>
        <v>46069</v>
      </c>
      <c r="Q34">
        <f ca="1">IF(33&lt;=$I$8, INDEX('Precios Diarios'!$E$2:$E$463, $G$8 - 1 + 33 - 1), NA())</f>
        <v>584219.29</v>
      </c>
      <c r="R34">
        <f ca="1">IF(33&lt;=$I$8, INDEX('Precios Diarios'!$F$2:$F$463, $G$8 - 1 + 33 - 1), NA())</f>
        <v>9056.56</v>
      </c>
    </row>
    <row r="35" spans="16:18">
      <c r="P35" s="1">
        <f ca="1">IF(34&lt;=$I$8, INDEX('Precios Diarios'!$A$2:$A$463, $G$8 - 1 + 34 - 1), NA())</f>
        <v>46070</v>
      </c>
      <c r="Q35">
        <f ca="1">IF(34&lt;=$I$8, INDEX('Precios Diarios'!$E$2:$E$463, $G$8 - 1 + 34 - 1), NA())</f>
        <v>573962.34</v>
      </c>
      <c r="R35">
        <f ca="1">IF(34&lt;=$I$8, INDEX('Precios Diarios'!$F$2:$F$463, $G$8 - 1 + 34 - 1), NA())</f>
        <v>8633.36</v>
      </c>
    </row>
    <row r="36" spans="16:18">
      <c r="P36" s="1">
        <f ca="1">IF(35&lt;=$I$8, INDEX('Precios Diarios'!$A$2:$A$463, $G$8 - 1 + 35 - 1), NA())</f>
        <v>46071</v>
      </c>
      <c r="Q36">
        <f ca="1">IF(35&lt;=$I$8, INDEX('Precios Diarios'!$E$2:$E$463, $G$8 - 1 + 35 - 1), NA())</f>
        <v>587371.29</v>
      </c>
      <c r="R36">
        <f ca="1">IF(35&lt;=$I$8, INDEX('Precios Diarios'!$F$2:$F$463, $G$8 - 1 + 35 - 1), NA())</f>
        <v>9129.9599999999991</v>
      </c>
    </row>
    <row r="37" spans="16:18">
      <c r="P37" s="1">
        <f ca="1">IF(36&lt;=$I$8, INDEX('Precios Diarios'!$A$2:$A$463, $G$8 - 1 + 36 - 1), NA())</f>
        <v>46072</v>
      </c>
      <c r="Q37">
        <f ca="1">IF(36&lt;=$I$8, INDEX('Precios Diarios'!$E$2:$E$463, $G$8 - 1 + 36 - 1), NA())</f>
        <v>588447.18000000005</v>
      </c>
      <c r="R37">
        <f ca="1">IF(36&lt;=$I$8, INDEX('Precios Diarios'!$F$2:$F$463, $G$8 - 1 + 36 - 1), NA())</f>
        <v>9172.7900000000009</v>
      </c>
    </row>
    <row r="38" spans="16:18">
      <c r="P38" s="1">
        <f ca="1">IF(37&lt;=$I$8, INDEX('Precios Diarios'!$A$2:$A$463, $G$8 - 1 + 37 - 1), NA())</f>
        <v>46073</v>
      </c>
      <c r="Q38">
        <f ca="1">IF(37&lt;=$I$8, INDEX('Precios Diarios'!$E$2:$E$463, $G$8 - 1 + 37 - 1), NA())</f>
        <v>601646.17000000004</v>
      </c>
      <c r="R38">
        <f ca="1">IF(37&lt;=$I$8, INDEX('Precios Diarios'!$F$2:$F$463, $G$8 - 1 + 37 - 1), NA())</f>
        <v>9785</v>
      </c>
    </row>
    <row r="39" spans="16:18">
      <c r="P39" s="1">
        <f ca="1">IF(38&lt;=$I$8, INDEX('Precios Diarios'!$A$2:$A$463, $G$8 - 1 + 38 - 1), NA())</f>
        <v>46076</v>
      </c>
      <c r="Q39">
        <f ca="1">IF(38&lt;=$I$8, INDEX('Precios Diarios'!$E$2:$E$463, $G$8 - 1 + 38 - 1), NA())</f>
        <v>610328.99</v>
      </c>
      <c r="R39">
        <f ca="1">IF(38&lt;=$I$8, INDEX('Precios Diarios'!$F$2:$F$463, $G$8 - 1 + 38 - 1), NA())</f>
        <v>10146.120000000001</v>
      </c>
    </row>
    <row r="40" spans="16:18">
      <c r="P40" s="1">
        <f ca="1">IF(39&lt;=$I$8, INDEX('Precios Diarios'!$A$2:$A$463, $G$8 - 1 + 39 - 1), NA())</f>
        <v>46077</v>
      </c>
      <c r="Q40">
        <f ca="1">IF(39&lt;=$I$8, INDEX('Precios Diarios'!$E$2:$E$463, $G$8 - 1 + 39 - 1), NA())</f>
        <v>611986.35</v>
      </c>
      <c r="R40">
        <f ca="1">IF(39&lt;=$I$8, INDEX('Precios Diarios'!$F$2:$F$463, $G$8 - 1 + 39 - 1), NA())</f>
        <v>10381.030000000001</v>
      </c>
    </row>
    <row r="41" spans="16:18">
      <c r="P41" s="1">
        <f ca="1">IF(40&lt;=$I$8, INDEX('Precios Diarios'!$A$2:$A$463, $G$8 - 1 + 40 - 1), NA())</f>
        <v>46078</v>
      </c>
      <c r="Q41">
        <f ca="1">IF(40&lt;=$I$8, INDEX('Precios Diarios'!$E$2:$E$463, $G$8 - 1 + 40 - 1), NA())</f>
        <v>621034.01</v>
      </c>
      <c r="R41">
        <f ca="1">IF(40&lt;=$I$8, INDEX('Precios Diarios'!$F$2:$F$463, $G$8 - 1 + 40 - 1), NA())</f>
        <v>10847.46</v>
      </c>
    </row>
    <row r="42" spans="16:18">
      <c r="P42" s="1">
        <f ca="1">IF(41&lt;=$I$8, INDEX('Precios Diarios'!$A$2:$A$463, $G$8 - 1 + 41 - 1), NA())</f>
        <v>46079</v>
      </c>
      <c r="Q42">
        <f ca="1">IF(41&lt;=$I$8, INDEX('Precios Diarios'!$E$2:$E$463, $G$8 - 1 + 41 - 1), NA())</f>
        <v>615400.4</v>
      </c>
      <c r="R42">
        <f ca="1">IF(41&lt;=$I$8, INDEX('Precios Diarios'!$F$2:$F$463, $G$8 - 1 + 41 - 1), NA())</f>
        <v>10342.629999999999</v>
      </c>
    </row>
    <row r="43" spans="16:18">
      <c r="P43" s="1">
        <f ca="1">IF(42&lt;=$I$8, INDEX('Precios Diarios'!$A$2:$A$463, $G$8 - 1 + 42 - 1), NA())</f>
        <v>46080</v>
      </c>
      <c r="Q43">
        <f ca="1">IF(42&lt;=$I$8, INDEX('Precios Diarios'!$E$2:$E$463, $G$8 - 1 + 42 - 1), NA())</f>
        <v>633019.88</v>
      </c>
      <c r="R43">
        <f ca="1">IF(42&lt;=$I$8, INDEX('Precios Diarios'!$F$2:$F$463, $G$8 - 1 + 42 - 1), NA())</f>
        <v>11216.81</v>
      </c>
    </row>
    <row r="44" spans="16:18">
      <c r="P44" s="1">
        <f ca="1">IF(43&lt;=$I$8, INDEX('Precios Diarios'!$A$2:$A$463, $G$8 - 1 + 43 - 1), NA())</f>
        <v>46083</v>
      </c>
      <c r="Q44">
        <f ca="1">IF(43&lt;=$I$8, INDEX('Precios Diarios'!$E$2:$E$463, $G$8 - 1 + 43 - 1), NA())</f>
        <v>632630.5</v>
      </c>
      <c r="R44">
        <f ca="1">IF(43&lt;=$I$8, INDEX('Precios Diarios'!$F$2:$F$463, $G$8 - 1 + 43 - 1), NA())</f>
        <v>10549.1</v>
      </c>
    </row>
    <row r="45" spans="16:18">
      <c r="P45" s="1">
        <f ca="1">IF(44&lt;=$I$8, INDEX('Precios Diarios'!$A$2:$A$463, $G$8 - 1 + 44 - 1), NA())</f>
        <v>46084</v>
      </c>
      <c r="Q45">
        <f ca="1">IF(44&lt;=$I$8, INDEX('Precios Diarios'!$E$2:$E$463, $G$8 - 1 + 44 - 1), NA())</f>
        <v>619190.71</v>
      </c>
      <c r="R45">
        <f ca="1">IF(44&lt;=$I$8, INDEX('Precios Diarios'!$F$2:$F$463, $G$8 - 1 + 44 - 1), NA())</f>
        <v>10053.09</v>
      </c>
    </row>
    <row r="46" spans="16:18">
      <c r="P46" s="1">
        <f ca="1">IF(45&lt;=$I$8, INDEX('Precios Diarios'!$A$2:$A$463, $G$8 - 1 + 45 - 1), NA())</f>
        <v>46085</v>
      </c>
      <c r="Q46">
        <f ca="1">IF(45&lt;=$I$8, INDEX('Precios Diarios'!$E$2:$E$463, $G$8 - 1 + 45 - 1), NA())</f>
        <v>625756.80000000005</v>
      </c>
      <c r="R46">
        <f ca="1">IF(45&lt;=$I$8, INDEX('Precios Diarios'!$F$2:$F$463, $G$8 - 1 + 45 - 1), NA())</f>
        <v>10098.86</v>
      </c>
    </row>
    <row r="47" spans="16:18">
      <c r="P47" s="1">
        <f ca="1">IF(46&lt;=$I$8, INDEX('Precios Diarios'!$A$2:$A$463, $G$8 - 1 + 46 - 1), NA())</f>
        <v>46086</v>
      </c>
      <c r="Q47">
        <f ca="1">IF(46&lt;=$I$8, INDEX('Precios Diarios'!$E$2:$E$463, $G$8 - 1 + 46 - 1), NA())</f>
        <v>612183</v>
      </c>
      <c r="R47">
        <f ca="1">IF(46&lt;=$I$8, INDEX('Precios Diarios'!$F$2:$F$463, $G$8 - 1 + 46 - 1), NA())</f>
        <v>9872.5400000000009</v>
      </c>
    </row>
    <row r="48" spans="16:18">
      <c r="P48" s="1">
        <f ca="1">IF(47&lt;=$I$8, INDEX('Precios Diarios'!$A$2:$A$463, $G$8 - 1 + 47 - 1), NA())</f>
        <v>46087</v>
      </c>
      <c r="Q48">
        <f ca="1">IF(47&lt;=$I$8, INDEX('Precios Diarios'!$E$2:$E$463, $G$8 - 1 + 47 - 1), NA())</f>
        <v>626807.65</v>
      </c>
      <c r="R48">
        <f ca="1">IF(47&lt;=$I$8, INDEX('Precios Diarios'!$F$2:$F$463, $G$8 - 1 + 47 - 1), NA())</f>
        <v>10209</v>
      </c>
    </row>
    <row r="49" spans="16:18">
      <c r="P49" s="1">
        <f ca="1">IF(48&lt;=$I$8, INDEX('Precios Diarios'!$A$2:$A$463, $G$8 - 1 + 48 - 1), NA())</f>
        <v>46090</v>
      </c>
      <c r="Q49">
        <f ca="1">IF(48&lt;=$I$8, INDEX('Precios Diarios'!$E$2:$E$463, $G$8 - 1 + 48 - 1), NA())</f>
        <v>607621.68999999994</v>
      </c>
      <c r="R49">
        <f ca="1">IF(48&lt;=$I$8, INDEX('Precios Diarios'!$F$2:$F$463, $G$8 - 1 + 48 - 1), NA())</f>
        <v>10028.41</v>
      </c>
    </row>
    <row r="50" spans="16:18">
      <c r="P50" s="1">
        <f ca="1">IF(49&lt;=$I$8, INDEX('Precios Diarios'!$A$2:$A$463, $G$8 - 1 + 49 - 1), NA())</f>
        <v>46091</v>
      </c>
      <c r="Q50">
        <f ca="1">IF(49&lt;=$I$8, INDEX('Precios Diarios'!$E$2:$E$463, $G$8 - 1 + 49 - 1), NA())</f>
        <v>632509.47</v>
      </c>
      <c r="R50">
        <f ca="1">IF(49&lt;=$I$8, INDEX('Precios Diarios'!$F$2:$F$463, $G$8 - 1 + 49 - 1), NA())</f>
        <v>10774.2</v>
      </c>
    </row>
    <row r="51" spans="16:18">
      <c r="P51" s="1">
        <f ca="1">IF(50&lt;=$I$8, INDEX('Precios Diarios'!$A$2:$A$463, $G$8 - 1 + 50 - 1), NA())</f>
        <v>46092</v>
      </c>
      <c r="Q51">
        <f ca="1">IF(50&lt;=$I$8, INDEX('Precios Diarios'!$E$2:$E$463, $G$8 - 1 + 50 - 1), NA())</f>
        <v>616209.18999999994</v>
      </c>
      <c r="R51">
        <f ca="1">IF(50&lt;=$I$8, INDEX('Precios Diarios'!$F$2:$F$463, $G$8 - 1 + 50 - 1), NA())</f>
        <v>10143.950000000001</v>
      </c>
    </row>
    <row r="52" spans="16:18">
      <c r="P52" s="1">
        <f ca="1">IF(51&lt;=$I$8, INDEX('Precios Diarios'!$A$2:$A$463, $G$8 - 1 + 51 - 1), NA())</f>
        <v>46093</v>
      </c>
      <c r="Q52">
        <f ca="1">IF(51&lt;=$I$8, INDEX('Precios Diarios'!$E$2:$E$463, $G$8 - 1 + 51 - 1), NA())</f>
        <v>609128.24</v>
      </c>
      <c r="R52">
        <f ca="1">IF(51&lt;=$I$8, INDEX('Precios Diarios'!$F$2:$F$463, $G$8 - 1 + 51 - 1), NA())</f>
        <v>10081.49</v>
      </c>
    </row>
    <row r="53" spans="16:18">
      <c r="P53" s="1">
        <f ca="1">IF(52&lt;=$I$8, INDEX('Precios Diarios'!$A$2:$A$463, $G$8 - 1 + 52 - 1), NA())</f>
        <v>46094</v>
      </c>
      <c r="Q53">
        <f ca="1">IF(52&lt;=$I$8, INDEX('Precios Diarios'!$E$2:$E$463, $G$8 - 1 + 52 - 1), NA())</f>
        <v>599825.54</v>
      </c>
      <c r="R53">
        <f ca="1">IF(52&lt;=$I$8, INDEX('Precios Diarios'!$F$2:$F$463, $G$8 - 1 + 52 - 1), NA())</f>
        <v>9605.99</v>
      </c>
    </row>
    <row r="54" spans="16:18">
      <c r="P54" s="1">
        <f ca="1">IF(53&lt;=$I$8, INDEX('Precios Diarios'!$A$2:$A$463, $G$8 - 1 + 53 - 1), NA())</f>
        <v>46097</v>
      </c>
      <c r="Q54">
        <f ca="1">IF(53&lt;=$I$8, INDEX('Precios Diarios'!$E$2:$E$463, $G$8 - 1 + 53 - 1), NA())</f>
        <v>584217.69999999995</v>
      </c>
      <c r="R54">
        <f ca="1">IF(53&lt;=$I$8, INDEX('Precios Diarios'!$F$2:$F$463, $G$8 - 1 + 53 - 1), NA())</f>
        <v>9389.48</v>
      </c>
    </row>
    <row r="55" spans="16:18">
      <c r="P55" s="1">
        <f ca="1">IF(54&lt;=$I$8, INDEX('Precios Diarios'!$A$2:$A$463, $G$8 - 1 + 54 - 1), NA())</f>
        <v>46098</v>
      </c>
      <c r="Q55">
        <f ca="1">IF(54&lt;=$I$8, INDEX('Precios Diarios'!$E$2:$E$463, $G$8 - 1 + 54 - 1), NA())</f>
        <v>595267.93000000005</v>
      </c>
      <c r="R55">
        <f ca="1">IF(54&lt;=$I$8, INDEX('Precios Diarios'!$F$2:$F$463, $G$8 - 1 + 54 - 1), NA())</f>
        <v>9466.44</v>
      </c>
    </row>
    <row r="56" spans="16:18">
      <c r="P56" s="1">
        <f ca="1">IF(55&lt;=$I$8, INDEX('Precios Diarios'!$A$2:$A$463, $G$8 - 1 + 55 - 1), NA())</f>
        <v>46099</v>
      </c>
      <c r="Q56">
        <f ca="1">IF(55&lt;=$I$8, INDEX('Precios Diarios'!$E$2:$E$463, $G$8 - 1 + 55 - 1), NA())</f>
        <v>581595.63</v>
      </c>
      <c r="R56">
        <f ca="1">IF(55&lt;=$I$8, INDEX('Precios Diarios'!$F$2:$F$463, $G$8 - 1 + 55 - 1), NA())</f>
        <v>9186.5400000000009</v>
      </c>
    </row>
    <row r="57" spans="16:18">
      <c r="P57" s="1">
        <f ca="1">IF(56&lt;=$I$8, INDEX('Precios Diarios'!$A$2:$A$463, $G$8 - 1 + 56 - 1), NA())</f>
        <v>46100</v>
      </c>
      <c r="Q57">
        <f ca="1">IF(56&lt;=$I$8, INDEX('Precios Diarios'!$E$2:$E$463, $G$8 - 1 + 56 - 1), NA())</f>
        <v>547926.53</v>
      </c>
      <c r="R57">
        <f ca="1">IF(56&lt;=$I$8, INDEX('Precios Diarios'!$F$2:$F$463, $G$8 - 1 + 56 - 1), NA())</f>
        <v>8444.17</v>
      </c>
    </row>
    <row r="58" spans="16:18">
      <c r="P58" s="1">
        <f ca="1">IF(57&lt;=$I$8, INDEX('Precios Diarios'!$A$2:$A$463, $G$8 - 1 + 57 - 1), NA())</f>
        <v>46101</v>
      </c>
      <c r="Q58">
        <f ca="1">IF(57&lt;=$I$8, INDEX('Precios Diarios'!$E$2:$E$463, $G$8 - 1 + 57 - 1), NA())</f>
        <v>542354.72</v>
      </c>
      <c r="R58">
        <f ca="1">IF(57&lt;=$I$8, INDEX('Precios Diarios'!$F$2:$F$463, $G$8 - 1 + 57 - 1), NA())</f>
        <v>8230.73</v>
      </c>
    </row>
    <row r="59" spans="16:18">
      <c r="P59" s="1">
        <f ca="1">IF(58&lt;=$I$8, INDEX('Precios Diarios'!$A$2:$A$463, $G$8 - 1 + 58 - 1), NA())</f>
        <v>46104</v>
      </c>
      <c r="Q59">
        <f ca="1">IF(58&lt;=$I$8, INDEX('Precios Diarios'!$E$2:$E$463, $G$8 - 1 + 58 - 1), NA())</f>
        <v>513463.19</v>
      </c>
      <c r="R59">
        <f ca="1">IF(58&lt;=$I$8, INDEX('Precios Diarios'!$F$2:$F$463, $G$8 - 1 + 58 - 1), NA())</f>
        <v>8050.25</v>
      </c>
    </row>
    <row r="60" spans="16:18">
      <c r="P60" s="1">
        <f ca="1">IF(59&lt;=$I$8, INDEX('Precios Diarios'!$A$2:$A$463, $G$8 - 1 + 59 - 1), NA())</f>
        <v>46105</v>
      </c>
      <c r="Q60">
        <f ca="1">IF(59&lt;=$I$8, INDEX('Precios Diarios'!$E$2:$E$463, $G$8 - 1 + 59 - 1), NA())</f>
        <v>524684.46</v>
      </c>
      <c r="R60">
        <f ca="1">IF(59&lt;=$I$8, INDEX('Precios Diarios'!$F$2:$F$463, $G$8 - 1 + 59 - 1), NA())</f>
        <v>8261.99</v>
      </c>
    </row>
    <row r="61" spans="16:18">
      <c r="P61" s="1">
        <f ca="1">IF(60&lt;=$I$8, INDEX('Precios Diarios'!$A$2:$A$463, $G$8 - 1 + 60 - 1), NA())</f>
        <v>46106</v>
      </c>
      <c r="Q61">
        <f ca="1">IF(60&lt;=$I$8, INDEX('Precios Diarios'!$E$2:$E$463, $G$8 - 1 + 60 - 1), NA())</f>
        <v>541706.48</v>
      </c>
      <c r="R61">
        <f ca="1">IF(60&lt;=$I$8, INDEX('Precios Diarios'!$F$2:$F$463, $G$8 - 1 + 60 - 1), NA())</f>
        <v>8615.42</v>
      </c>
    </row>
    <row r="62" spans="16:18">
      <c r="P62" s="1">
        <f ca="1">IF(61&lt;=$I$8, INDEX('Precios Diarios'!$A$2:$A$463, $G$8 - 1 + 61 - 1), NA())</f>
        <v>46107</v>
      </c>
      <c r="Q62">
        <f ca="1">IF(61&lt;=$I$8, INDEX('Precios Diarios'!$E$2:$E$463, $G$8 - 1 + 61 - 1), NA())</f>
        <v>520347.75</v>
      </c>
      <c r="R62">
        <f ca="1">IF(61&lt;=$I$8, INDEX('Precios Diarios'!$F$2:$F$463, $G$8 - 1 + 61 - 1), NA())</f>
        <v>8047.64</v>
      </c>
    </row>
    <row r="63" spans="16:18">
      <c r="P63" s="1">
        <f ca="1">IF(62&lt;=$I$8, INDEX('Precios Diarios'!$A$2:$A$463, $G$8 - 1 + 62 - 1), NA())</f>
        <v>46108</v>
      </c>
      <c r="Q63">
        <f ca="1">IF(62&lt;=$I$8, INDEX('Precios Diarios'!$E$2:$E$463, $G$8 - 1 + 62 - 1), NA())</f>
        <v>532529.91</v>
      </c>
      <c r="R63">
        <f ca="1">IF(62&lt;=$I$8, INDEX('Precios Diarios'!$F$2:$F$463, $G$8 - 1 + 62 - 1), NA())</f>
        <v>8244.61</v>
      </c>
    </row>
    <row r="64" spans="16:18">
      <c r="P64" s="1">
        <f ca="1">IF(63&lt;=$I$8, INDEX('Precios Diarios'!$A$2:$A$463, $G$8 - 1 + 63 - 1), NA())</f>
        <v>46110</v>
      </c>
      <c r="Q64">
        <f ca="1">IF(63&lt;=$I$8, INDEX('Precios Diarios'!$E$2:$E$463, $G$8 - 1 + 63 - 1), NA())</f>
        <v>530354.92000000004</v>
      </c>
      <c r="R64">
        <f ca="1">IF(63&lt;=$I$8, INDEX('Precios Diarios'!$F$2:$F$463, $G$8 - 1 + 63 - 1), NA())</f>
        <v>8210.94</v>
      </c>
    </row>
    <row r="65" spans="16:18">
      <c r="P65" s="1">
        <f ca="1">IF(64&lt;=$I$8, INDEX('Precios Diarios'!$A$2:$A$463, $G$8 - 1 + 64 - 1), NA())</f>
        <v>46111</v>
      </c>
      <c r="Q65">
        <f ca="1">IF(64&lt;=$I$8, INDEX('Precios Diarios'!$E$2:$E$463, $G$8 - 1 + 64 - 1), NA())</f>
        <v>534799.9</v>
      </c>
      <c r="R65">
        <f ca="1">IF(64&lt;=$I$8, INDEX('Precios Diarios'!$F$2:$F$463, $G$8 - 1 + 64 - 1), NA())</f>
        <v>8309.6</v>
      </c>
    </row>
    <row r="66" spans="16:18">
      <c r="P66" s="1">
        <f ca="1">IF(65&lt;=$I$8, INDEX('Precios Diarios'!$A$2:$A$463, $G$8 - 1 + 65 - 1), NA())</f>
        <v>46112</v>
      </c>
      <c r="Q66">
        <f ca="1">IF(65&lt;=$I$8, INDEX('Precios Diarios'!$E$2:$E$463, $G$8 - 1 + 65 - 1), NA())</f>
        <v>550153.09</v>
      </c>
      <c r="R66">
        <f ca="1">IF(65&lt;=$I$8, INDEX('Precios Diarios'!$F$2:$F$463, $G$8 - 1 + 65 - 1), NA())</f>
        <v>8841.32</v>
      </c>
    </row>
    <row r="67" spans="16:18">
      <c r="P67" s="1">
        <f ca="1">IF(66&lt;=$I$8, INDEX('Precios Diarios'!$A$2:$A$463, $G$8 - 1 + 66 - 1), NA())</f>
        <v>46113</v>
      </c>
      <c r="Q67">
        <f ca="1">IF(66&lt;=$I$8, INDEX('Precios Diarios'!$E$2:$E$463, $G$8 - 1 + 66 - 1), NA())</f>
        <v>564642.09</v>
      </c>
      <c r="R67">
        <f ca="1">IF(66&lt;=$I$8, INDEX('Precios Diarios'!$F$2:$F$463, $G$8 - 1 + 66 - 1), NA())</f>
        <v>8955.8700000000008</v>
      </c>
    </row>
    <row r="68" spans="16:18">
      <c r="P68" s="1">
        <f ca="1">IF(67&lt;=$I$8, INDEX('Precios Diarios'!$A$2:$A$463, $G$8 - 1 + 67 - 1), NA())</f>
        <v>46114</v>
      </c>
      <c r="Q68">
        <f ca="1">IF(67&lt;=$I$8, INDEX('Precios Diarios'!$E$2:$E$463, $G$8 - 1 + 67 - 1), NA())</f>
        <v>547456.24</v>
      </c>
      <c r="R68">
        <f ca="1">IF(67&lt;=$I$8, INDEX('Precios Diarios'!$F$2:$F$463, $G$8 - 1 + 67 - 1), NA())</f>
        <v>8560.51</v>
      </c>
    </row>
    <row r="69" spans="16:18">
      <c r="P69" s="1">
        <f ca="1">IF(68&lt;=$I$8, INDEX('Precios Diarios'!$A$2:$A$463, $G$8 - 1 + 68 - 1), NA())</f>
        <v>46117</v>
      </c>
      <c r="Q69">
        <f ca="1">IF(68&lt;=$I$8, INDEX('Precios Diarios'!$E$2:$E$463, $G$8 - 1 + 68 - 1), NA())</f>
        <v>548347.54</v>
      </c>
      <c r="R69">
        <f ca="1">IF(68&lt;=$I$8, INDEX('Precios Diarios'!$F$2:$F$463, $G$8 - 1 + 68 - 1), NA())</f>
        <v>8574.4500000000007</v>
      </c>
    </row>
    <row r="70" spans="16:18">
      <c r="P70" s="1">
        <f ca="1">IF(69&lt;=$I$8, INDEX('Precios Diarios'!$A$2:$A$463, $G$8 - 1 + 69 - 1), NA())</f>
        <v>46118</v>
      </c>
      <c r="Q70">
        <f ca="1">IF(69&lt;=$I$8, INDEX('Precios Diarios'!$E$2:$E$463, $G$8 - 1 + 69 - 1), NA())</f>
        <v>551185.18000000005</v>
      </c>
      <c r="R70">
        <f ca="1">IF(69&lt;=$I$8, INDEX('Precios Diarios'!$F$2:$F$463, $G$8 - 1 + 69 - 1), NA())</f>
        <v>8600.26</v>
      </c>
    </row>
    <row r="71" spans="16:18">
      <c r="P71" s="1">
        <f ca="1">IF(70&lt;=$I$8, INDEX('Precios Diarios'!$A$2:$A$463, $G$8 - 1 + 70 - 1), NA())</f>
        <v>46119</v>
      </c>
      <c r="Q71">
        <f ca="1">IF(70&lt;=$I$8, INDEX('Precios Diarios'!$E$2:$E$463, $G$8 - 1 + 70 - 1), NA())</f>
        <v>552415.56000000006</v>
      </c>
      <c r="R71">
        <f ca="1">IF(70&lt;=$I$8, INDEX('Precios Diarios'!$F$2:$F$463, $G$8 - 1 + 70 - 1), NA())</f>
        <v>8519.85</v>
      </c>
    </row>
    <row r="72" spans="16:18">
      <c r="P72" s="1">
        <f ca="1">IF(71&lt;=$I$8, INDEX('Precios Diarios'!$A$2:$A$463, $G$8 - 1 + 71 - 1), NA())</f>
        <v>46120</v>
      </c>
      <c r="Q72">
        <f ca="1">IF(71&lt;=$I$8, INDEX('Precios Diarios'!$E$2:$E$463, $G$8 - 1 + 71 - 1), NA())</f>
        <v>556657.04</v>
      </c>
      <c r="R72">
        <f ca="1">IF(71&lt;=$I$8, INDEX('Precios Diarios'!$F$2:$F$463, $G$8 - 1 + 71 - 1), NA())</f>
        <v>8816.5</v>
      </c>
    </row>
    <row r="73" spans="16:18">
      <c r="P73" s="1">
        <f ca="1">IF(72&lt;=$I$8, INDEX('Precios Diarios'!$A$2:$A$463, $G$8 - 1 + 72 - 1), NA())</f>
        <v>46121</v>
      </c>
      <c r="Q73">
        <f ca="1">IF(72&lt;=$I$8, INDEX('Precios Diarios'!$E$2:$E$463, $G$8 - 1 + 72 - 1), NA())</f>
        <v>562841.87</v>
      </c>
      <c r="R73">
        <f ca="1">IF(72&lt;=$I$8, INDEX('Precios Diarios'!$F$2:$F$463, $G$8 - 1 + 72 - 1), NA())</f>
        <v>8958.7000000000007</v>
      </c>
    </row>
    <row r="74" spans="16:18">
      <c r="P74" s="1">
        <f ca="1">IF(73&lt;=$I$8, INDEX('Precios Diarios'!$A$2:$A$463, $G$8 - 1 + 73 - 1), NA())</f>
        <v>46122</v>
      </c>
      <c r="Q74">
        <f ca="1">IF(73&lt;=$I$8, INDEX('Precios Diarios'!$E$2:$E$463, $G$8 - 1 + 73 - 1), NA())</f>
        <v>559283.11</v>
      </c>
      <c r="R74">
        <f ca="1">IF(73&lt;=$I$8, INDEX('Precios Diarios'!$F$2:$F$463, $G$8 - 1 + 73 - 1), NA())</f>
        <v>8964.2199999999993</v>
      </c>
    </row>
    <row r="75" spans="16:18">
      <c r="P75" s="1">
        <f ca="1">IF(74&lt;=$I$8, INDEX('Precios Diarios'!$A$2:$A$463, $G$8 - 1 + 74 - 1), NA())</f>
        <v>46124</v>
      </c>
      <c r="Q75">
        <f ca="1">IF(74&lt;=$I$8, INDEX('Precios Diarios'!$E$2:$E$463, $G$8 - 1 + 74 - 1), NA())</f>
        <v>557847.03</v>
      </c>
      <c r="R75">
        <f ca="1">IF(74&lt;=$I$8, INDEX('Precios Diarios'!$F$2:$F$463, $G$8 - 1 + 74 - 1), NA())</f>
        <v>8941.2000000000007</v>
      </c>
    </row>
    <row r="76" spans="16:18">
      <c r="P76" s="1">
        <f ca="1">IF(75&lt;=$I$8, INDEX('Precios Diarios'!$A$2:$A$463, $G$8 - 1 + 75 - 1), NA())</f>
        <v>46125</v>
      </c>
      <c r="Q76">
        <f ca="1">IF(75&lt;=$I$8, INDEX('Precios Diarios'!$E$2:$E$463, $G$8 - 1 + 75 - 1), NA())</f>
        <v>548628.23</v>
      </c>
      <c r="R76">
        <f ca="1">IF(75&lt;=$I$8, INDEX('Precios Diarios'!$F$2:$F$463, $G$8 - 1 + 75 - 1), NA())</f>
        <v>8736.94</v>
      </c>
    </row>
    <row r="77" spans="16:18">
      <c r="P77" s="1">
        <f ca="1">IF(76&lt;=$I$8, INDEX('Precios Diarios'!$A$2:$A$463, $G$8 - 1 + 76 - 1), NA())</f>
        <v>46126</v>
      </c>
      <c r="Q77">
        <f ca="1">IF(76&lt;=$I$8, INDEX('Precios Diarios'!$E$2:$E$463, $G$8 - 1 + 76 - 1), NA())</f>
        <v>557684.38</v>
      </c>
      <c r="R77">
        <f ca="1">IF(76&lt;=$I$8, INDEX('Precios Diarios'!$F$2:$F$463, $G$8 - 1 + 76 - 1), NA())</f>
        <v>9176.19</v>
      </c>
    </row>
    <row r="78" spans="16:18">
      <c r="P78" s="1">
        <f ca="1">IF(77&lt;=$I$8, INDEX('Precios Diarios'!$A$2:$A$463, $G$8 - 1 + 77 - 1), NA())</f>
        <v>46127</v>
      </c>
      <c r="Q78">
        <f ca="1">IF(77&lt;=$I$8, INDEX('Precios Diarios'!$E$2:$E$463, $G$8 - 1 + 77 - 1), NA())</f>
        <v>557902.89</v>
      </c>
      <c r="R78">
        <f ca="1">IF(77&lt;=$I$8, INDEX('Precios Diarios'!$F$2:$F$463, $G$8 - 1 + 77 - 1), NA())</f>
        <v>9239.2199999999993</v>
      </c>
    </row>
    <row r="79" spans="16:18">
      <c r="P79" s="1">
        <f ca="1">IF(78&lt;=$I$8, INDEX('Precios Diarios'!$A$2:$A$463, $G$8 - 1 + 78 - 1), NA())</f>
        <v>46128</v>
      </c>
      <c r="Q79">
        <f ca="1">IF(78&lt;=$I$8, INDEX('Precios Diarios'!$E$2:$E$463, $G$8 - 1 + 78 - 1), NA())</f>
        <v>555879.77</v>
      </c>
      <c r="R79">
        <f ca="1">IF(78&lt;=$I$8, INDEX('Precios Diarios'!$F$2:$F$463, $G$8 - 1 + 78 - 1), NA())</f>
        <v>9131</v>
      </c>
    </row>
    <row r="80" spans="16:18">
      <c r="P80" s="1">
        <f ca="1">IF(79&lt;=$I$8, INDEX('Precios Diarios'!$A$2:$A$463, $G$8 - 1 + 79 - 1), NA())</f>
        <v>46129</v>
      </c>
      <c r="Q80">
        <f ca="1">IF(79&lt;=$I$8, INDEX('Precios Diarios'!$E$2:$E$463, $G$8 - 1 + 79 - 1), NA())</f>
        <v>564266.66</v>
      </c>
      <c r="R80">
        <f ca="1">IF(79&lt;=$I$8, INDEX('Precios Diarios'!$F$2:$F$463, $G$8 - 1 + 79 - 1), NA())</f>
        <v>9494.82</v>
      </c>
    </row>
    <row r="81" spans="16:18">
      <c r="P81" s="1">
        <f ca="1">IF(80&lt;=$I$8, INDEX('Precios Diarios'!$A$2:$A$463, $G$8 - 1 + 80 - 1), NA())</f>
        <v>46131</v>
      </c>
      <c r="Q81">
        <f ca="1">IF(80&lt;=$I$8, INDEX('Precios Diarios'!$E$2:$E$463, $G$8 - 1 + 80 - 1), NA())</f>
        <v>562836.11</v>
      </c>
      <c r="R81">
        <f ca="1">IF(80&lt;=$I$8, INDEX('Precios Diarios'!$F$2:$F$463, $G$8 - 1 + 80 - 1), NA())</f>
        <v>9470.75</v>
      </c>
    </row>
    <row r="82" spans="16:18">
      <c r="P82" s="1">
        <f ca="1">IF(81&lt;=$I$8, INDEX('Precios Diarios'!$A$2:$A$463, $G$8 - 1 + 81 - 1), NA())</f>
        <v>46132</v>
      </c>
      <c r="Q82">
        <f ca="1">IF(81&lt;=$I$8, INDEX('Precios Diarios'!$E$2:$E$463, $G$8 - 1 + 81 - 1), NA())</f>
        <v>553027.91</v>
      </c>
      <c r="R82">
        <f ca="1">IF(81&lt;=$I$8, INDEX('Precios Diarios'!$F$2:$F$463, $G$8 - 1 + 81 - 1), NA())</f>
        <v>9198.84</v>
      </c>
    </row>
    <row r="83" spans="16:18">
      <c r="P83" s="1">
        <f ca="1">IF(82&lt;=$I$8, INDEX('Precios Diarios'!$A$2:$A$463, $G$8 - 1 + 82 - 1), NA())</f>
        <v>46133</v>
      </c>
      <c r="Q83">
        <f ca="1">IF(82&lt;=$I$8, INDEX('Precios Diarios'!$E$2:$E$463, $G$8 - 1 + 82 - 1), NA())</f>
        <v>541465.56000000006</v>
      </c>
      <c r="R83">
        <f ca="1">IF(82&lt;=$I$8, INDEX('Precios Diarios'!$F$2:$F$463, $G$8 - 1 + 82 - 1), NA())</f>
        <v>8805.9599999999991</v>
      </c>
    </row>
    <row r="84" spans="16:18">
      <c r="P84" s="1">
        <f ca="1">IF(83&lt;=$I$8, INDEX('Precios Diarios'!$A$2:$A$463, $G$8 - 1 + 83 - 1), NA())</f>
        <v>46134</v>
      </c>
      <c r="Q84">
        <f ca="1">IF(83&lt;=$I$8, INDEX('Precios Diarios'!$E$2:$E$463, $G$8 - 1 + 83 - 1), NA())</f>
        <v>543641.07999999996</v>
      </c>
      <c r="R84">
        <f ca="1">IF(83&lt;=$I$8, INDEX('Precios Diarios'!$F$2:$F$463, $G$8 - 1 + 83 - 1), NA())</f>
        <v>8947.8799999999992</v>
      </c>
    </row>
    <row r="85" spans="16:18">
      <c r="P85" s="1">
        <f ca="1">IF(84&lt;=$I$8, INDEX('Precios Diarios'!$A$2:$A$463, $G$8 - 1 + 84 - 1), NA())</f>
        <v>46135</v>
      </c>
      <c r="Q85">
        <f ca="1">IF(84&lt;=$I$8, INDEX('Precios Diarios'!$E$2:$E$463, $G$8 - 1 + 84 - 1), NA())</f>
        <v>539384.71</v>
      </c>
      <c r="R85">
        <f ca="1">IF(84&lt;=$I$8, INDEX('Precios Diarios'!$F$2:$F$463, $G$8 - 1 + 84 - 1), NA())</f>
        <v>8651.18</v>
      </c>
    </row>
    <row r="86" spans="16:18">
      <c r="P86" s="1">
        <f ca="1">IF(85&lt;=$I$8, INDEX('Precios Diarios'!$A$2:$A$463, $G$8 - 1 + 85 - 1), NA())</f>
        <v>46136</v>
      </c>
      <c r="Q86">
        <f ca="1">IF(85&lt;=$I$8, INDEX('Precios Diarios'!$E$2:$E$463, $G$8 - 1 + 85 - 1), NA())</f>
        <v>541356.44999999995</v>
      </c>
      <c r="R86">
        <f ca="1">IF(85&lt;=$I$8, INDEX('Precios Diarios'!$F$2:$F$463, $G$8 - 1 + 85 - 1), NA())</f>
        <v>8756.42</v>
      </c>
    </row>
    <row r="87" spans="16:18">
      <c r="P87" s="1">
        <f ca="1">IF(86&lt;=$I$8, INDEX('Precios Diarios'!$A$2:$A$463, $G$8 - 1 + 86 - 1), NA())</f>
        <v>46138</v>
      </c>
      <c r="Q87">
        <f ca="1">IF(86&lt;=$I$8, INDEX('Precios Diarios'!$E$2:$E$463, $G$8 - 1 + 86 - 1), NA())</f>
        <v>539394.88</v>
      </c>
      <c r="R87">
        <f ca="1">IF(86&lt;=$I$8, INDEX('Precios Diarios'!$F$2:$F$463, $G$8 - 1 + 86 - 1), NA())</f>
        <v>8724.69</v>
      </c>
    </row>
    <row r="88" spans="16:18">
      <c r="P88" s="1">
        <f ca="1">IF(87&lt;=$I$8, INDEX('Precios Diarios'!$A$2:$A$463, $G$8 - 1 + 87 - 1), NA())</f>
        <v>46139</v>
      </c>
      <c r="Q88">
        <f ca="1">IF(87&lt;=$I$8, INDEX('Precios Diarios'!$E$2:$E$463, $G$8 - 1 + 87 - 1), NA())</f>
        <v>544430.81000000006</v>
      </c>
      <c r="R88">
        <f ca="1">IF(87&lt;=$I$8, INDEX('Precios Diarios'!$F$2:$F$463, $G$8 - 1 + 87 - 1), NA())</f>
        <v>8733.7900000000009</v>
      </c>
    </row>
    <row r="89" spans="16:18">
      <c r="P89" s="1">
        <f ca="1">IF(88&lt;=$I$8, INDEX('Precios Diarios'!$A$2:$A$463, $G$8 - 1 + 88 - 1), NA())</f>
        <v>46140</v>
      </c>
      <c r="Q89">
        <f ca="1">IF(88&lt;=$I$8, INDEX('Precios Diarios'!$E$2:$E$463, $G$8 - 1 + 88 - 1), NA())</f>
        <v>532938.27</v>
      </c>
      <c r="R89">
        <f ca="1">IF(88&lt;=$I$8, INDEX('Precios Diarios'!$F$2:$F$463, $G$8 - 1 + 88 - 1), NA())</f>
        <v>8496.9500000000007</v>
      </c>
    </row>
    <row r="90" spans="16:18">
      <c r="P90" s="1">
        <f ca="1">IF(89&lt;=$I$8, INDEX('Precios Diarios'!$A$2:$A$463, $G$8 - 1 + 89 - 1), NA())</f>
        <v>46141</v>
      </c>
      <c r="Q90">
        <f ca="1">IF(89&lt;=$I$8, INDEX('Precios Diarios'!$E$2:$E$463, $G$8 - 1 + 89 - 1), NA())</f>
        <v>531037.77</v>
      </c>
      <c r="R90">
        <f ca="1">IF(89&lt;=$I$8, INDEX('Precios Diarios'!$F$2:$F$463, $G$8 - 1 + 89 - 1), NA())</f>
        <v>8361.75</v>
      </c>
    </row>
    <row r="91" spans="16:18">
      <c r="P91" s="1">
        <f ca="1">IF(90&lt;=$I$8, INDEX('Precios Diarios'!$A$2:$A$463, $G$8 - 1 + 90 - 1), NA())</f>
        <v>46142</v>
      </c>
      <c r="Q91">
        <f ca="1">IF(90&lt;=$I$8, INDEX('Precios Diarios'!$E$2:$E$463, $G$8 - 1 + 90 - 1), NA())</f>
        <v>542289.81999999995</v>
      </c>
      <c r="R91">
        <f ca="1">IF(90&lt;=$I$8, INDEX('Precios Diarios'!$F$2:$F$463, $G$8 - 1 + 90 - 1), NA())</f>
        <v>8641.24</v>
      </c>
    </row>
    <row r="92" spans="16:18">
      <c r="P92" s="1">
        <f ca="1">IF(91&lt;=$I$8, INDEX('Precios Diarios'!$A$2:$A$463, $G$8 - 1 + 91 - 1), NA())</f>
        <v>46143</v>
      </c>
      <c r="Q92">
        <f ca="1">IF(91&lt;=$I$8, INDEX('Precios Diarios'!$E$2:$E$463, $G$8 - 1 + 91 - 1), NA())</f>
        <v>544075.99</v>
      </c>
      <c r="R92">
        <f ca="1">IF(91&lt;=$I$8, INDEX('Precios Diarios'!$F$2:$F$463, $G$8 - 1 + 91 - 1), NA())</f>
        <v>8925.27</v>
      </c>
    </row>
    <row r="93" spans="16:18">
      <c r="P93" s="1">
        <f ca="1">IF(92&lt;=$I$8, INDEX('Precios Diarios'!$A$2:$A$463, $G$8 - 1 + 92 - 1), NA())</f>
        <v>46145</v>
      </c>
      <c r="Q93">
        <f ca="1">IF(92&lt;=$I$8, INDEX('Precios Diarios'!$E$2:$E$463, $G$8 - 1 + 92 - 1), NA())</f>
        <v>544145.94999999995</v>
      </c>
      <c r="R93">
        <f ca="1">IF(92&lt;=$I$8, INDEX('Precios Diarios'!$F$2:$F$463, $G$8 - 1 + 92 - 1), NA())</f>
        <v>8926.42</v>
      </c>
    </row>
    <row r="94" spans="16:18">
      <c r="P94" s="1">
        <f ca="1">IF(93&lt;=$I$8, INDEX('Precios Diarios'!$A$2:$A$463, $G$8 - 1 + 93 - 1), NA())</f>
        <v>46146</v>
      </c>
      <c r="Q94">
        <f ca="1">IF(93&lt;=$I$8, INDEX('Precios Diarios'!$E$2:$E$463, $G$8 - 1 + 93 - 1), NA())</f>
        <v>541680.69999999995</v>
      </c>
      <c r="R94">
        <f ca="1">IF(93&lt;=$I$8, INDEX('Precios Diarios'!$F$2:$F$463, $G$8 - 1 + 93 - 1), NA())</f>
        <v>8757.98</v>
      </c>
    </row>
    <row r="95" spans="16:18">
      <c r="P95" s="1">
        <f ca="1">IF(94&lt;=$I$8, INDEX('Precios Diarios'!$A$2:$A$463, $G$8 - 1 + 94 - 1), NA())</f>
        <v>46147</v>
      </c>
      <c r="Q95">
        <f ca="1">IF(94&lt;=$I$8, INDEX('Precios Diarios'!$E$2:$E$463, $G$8 - 1 + 94 - 1), NA())</f>
        <v>543829.93000000005</v>
      </c>
      <c r="R95">
        <f ca="1">IF(94&lt;=$I$8, INDEX('Precios Diarios'!$F$2:$F$463, $G$8 - 1 + 94 - 1), NA())</f>
        <v>8726.9699999999993</v>
      </c>
    </row>
    <row r="96" spans="16:18">
      <c r="P96" s="1">
        <f ca="1">IF(95&lt;=$I$8, INDEX('Precios Diarios'!$A$2:$A$463, $G$8 - 1 + 95 - 1), NA())</f>
        <v>46148</v>
      </c>
      <c r="Q96">
        <f ca="1">IF(95&lt;=$I$8, INDEX('Precios Diarios'!$E$2:$E$463, $G$8 - 1 + 95 - 1), NA())</f>
        <v>560720.54</v>
      </c>
      <c r="R96">
        <f ca="1">IF(95&lt;=$I$8, INDEX('Precios Diarios'!$F$2:$F$463, $G$8 - 1 + 95 - 1), NA())</f>
        <v>9199.15</v>
      </c>
    </row>
    <row r="97" spans="16:18">
      <c r="P97" s="1">
        <f ca="1">IF(96&lt;=$I$8, INDEX('Precios Diarios'!$A$2:$A$463, $G$8 - 1 + 96 - 1), NA())</f>
        <v>46149</v>
      </c>
      <c r="Q97">
        <f ca="1">IF(96&lt;=$I$8, INDEX('Precios Diarios'!$E$2:$E$463, $G$8 - 1 + 96 - 1), NA())</f>
        <v>564808.95999999996</v>
      </c>
      <c r="R97">
        <f ca="1">IF(96&lt;=$I$8, INDEX('Precios Diarios'!$F$2:$F$463, $G$8 - 1 + 96 - 1), NA())</f>
        <v>9578.25</v>
      </c>
    </row>
    <row r="98" spans="16:18">
      <c r="P98" s="1">
        <f ca="1">IF(97&lt;=$I$8, INDEX('Precios Diarios'!$A$2:$A$463, $G$8 - 1 + 97 - 1), NA())</f>
        <v>46150</v>
      </c>
      <c r="Q98">
        <f ca="1">IF(97&lt;=$I$8, INDEX('Precios Diarios'!$E$2:$E$463, $G$8 - 1 + 97 - 1), NA())</f>
        <v>567284.62</v>
      </c>
      <c r="R98">
        <f ca="1">IF(97&lt;=$I$8, INDEX('Precios Diarios'!$F$2:$F$463, $G$8 - 1 + 97 - 1), NA())</f>
        <v>9661.65</v>
      </c>
    </row>
    <row r="99" spans="16:18">
      <c r="P99" s="1">
        <f ca="1">IF(98&lt;=$I$8, INDEX('Precios Diarios'!$A$2:$A$463, $G$8 - 1 + 98 - 1), NA())</f>
        <v>46152</v>
      </c>
      <c r="Q99">
        <f ca="1">IF(98&lt;=$I$8, INDEX('Precios Diarios'!$E$2:$E$463, $G$8 - 1 + 98 - 1), NA())</f>
        <v>568920.65</v>
      </c>
      <c r="R99">
        <f ca="1">IF(98&lt;=$I$8, INDEX('Precios Diarios'!$F$2:$F$463, $G$8 - 1 + 98 - 1), NA())</f>
        <v>9689.51</v>
      </c>
    </row>
    <row r="100" spans="16:18">
      <c r="P100" s="1">
        <f ca="1">IF(99&lt;=$I$8, INDEX('Precios Diarios'!$A$2:$A$463, $G$8 - 1 + 99 - 1), NA())</f>
        <v>46153</v>
      </c>
      <c r="Q100">
        <f ca="1">IF(99&lt;=$I$8, INDEX('Precios Diarios'!$E$2:$E$463, $G$8 - 1 + 99 - 1), NA())</f>
        <v>570483.23</v>
      </c>
      <c r="R100">
        <f ca="1">IF(99&lt;=$I$8, INDEX('Precios Diarios'!$F$2:$F$463, $G$8 - 1 + 99 - 1), NA())</f>
        <v>10335</v>
      </c>
    </row>
    <row r="101" spans="16:18">
      <c r="P101" s="1">
        <f ca="1">IF(100&lt;=$I$8, INDEX('Precios Diarios'!$A$2:$A$463, $G$8 - 1 + 100 - 1), NA())</f>
        <v>46154</v>
      </c>
      <c r="Q101">
        <f ca="1">IF(100&lt;=$I$8, INDEX('Precios Diarios'!$E$2:$E$463, $G$8 - 1 + 100 - 1), NA())</f>
        <v>569409.34</v>
      </c>
      <c r="R101">
        <f ca="1">IF(100&lt;=$I$8, INDEX('Precios Diarios'!$F$2:$F$463, $G$8 - 1 + 100 - 1), NA())</f>
        <v>10362.969999999999</v>
      </c>
    </row>
    <row r="102" spans="16:18">
      <c r="P102" s="1">
        <f ca="1">IF(101&lt;=$I$8, INDEX('Precios Diarios'!$A$2:$A$463, $G$8 - 1 + 101 - 1), NA())</f>
        <v>46155</v>
      </c>
      <c r="Q102">
        <f ca="1">IF(101&lt;=$I$8, INDEX('Precios Diarios'!$E$2:$E$463, $G$8 - 1 + 101 - 1), NA())</f>
        <v>572816.74</v>
      </c>
      <c r="R102">
        <f ca="1">IF(101&lt;=$I$8, INDEX('Precios Diarios'!$F$2:$F$463, $G$8 - 1 + 101 - 1), NA())</f>
        <v>10838.61</v>
      </c>
    </row>
    <row r="103" spans="16:18">
      <c r="P103" s="1">
        <f ca="1">IF(102&lt;=$I$8, INDEX('Precios Diarios'!$A$2:$A$463, $G$8 - 1 + 102 - 1), NA())</f>
        <v>46156</v>
      </c>
      <c r="Q103">
        <f ca="1">IF(102&lt;=$I$8, INDEX('Precios Diarios'!$E$2:$E$463, $G$8 - 1 + 102 - 1), NA())</f>
        <v>569728.9</v>
      </c>
      <c r="R103">
        <f ca="1">IF(102&lt;=$I$8, INDEX('Precios Diarios'!$F$2:$F$463, $G$8 - 1 + 102 - 1), NA())</f>
        <v>10341.129999999999</v>
      </c>
    </row>
    <row r="104" spans="16:18">
      <c r="P104" s="1">
        <f ca="1">IF(103&lt;=$I$8, INDEX('Precios Diarios'!$A$2:$A$463, $G$8 - 1 + 103 - 1), NA())</f>
        <v>46157</v>
      </c>
      <c r="Q104">
        <f ca="1">IF(103&lt;=$I$8, INDEX('Precios Diarios'!$E$2:$E$463, $G$8 - 1 + 103 - 1), NA())</f>
        <v>554834.39</v>
      </c>
      <c r="R104">
        <f ca="1">IF(103&lt;=$I$8, INDEX('Precios Diarios'!$F$2:$F$463, $G$8 - 1 + 103 - 1), NA())</f>
        <v>9397.16</v>
      </c>
    </row>
    <row r="105" spans="16:18">
      <c r="P105" s="1">
        <f ca="1">IF(104&lt;=$I$8, INDEX('Precios Diarios'!$A$2:$A$463, $G$8 - 1 + 104 - 1), NA())</f>
        <v>46159</v>
      </c>
      <c r="Q105">
        <f ca="1">IF(104&lt;=$I$8, INDEX('Precios Diarios'!$E$2:$E$463, $G$8 - 1 + 104 - 1), NA())</f>
        <v>556208.31999999995</v>
      </c>
      <c r="R105">
        <f ca="1">IF(104&lt;=$I$8, INDEX('Precios Diarios'!$F$2:$F$463, $G$8 - 1 + 104 - 1), NA())</f>
        <v>9420.43</v>
      </c>
    </row>
    <row r="106" spans="16:18">
      <c r="P106" s="1">
        <f ca="1">IF(105&lt;=$I$8, INDEX('Precios Diarios'!$A$2:$A$463, $G$8 - 1 + 105 - 1), NA())</f>
        <v>46160</v>
      </c>
      <c r="Q106">
        <f ca="1">IF(105&lt;=$I$8, INDEX('Precios Diarios'!$E$2:$E$463, $G$8 - 1 + 105 - 1), NA())</f>
        <v>555843.51</v>
      </c>
      <c r="R106">
        <f ca="1">IF(105&lt;=$I$8, INDEX('Precios Diarios'!$F$2:$F$463, $G$8 - 1 + 105 - 1), NA())</f>
        <v>9410.33</v>
      </c>
    </row>
    <row r="107" spans="16:18">
      <c r="P107" s="1">
        <f ca="1">IF(106&lt;=$I$8, INDEX('Precios Diarios'!$A$2:$A$463, $G$8 - 1 + 106 - 1), NA())</f>
        <v>46161</v>
      </c>
      <c r="Q107">
        <f ca="1">IF(106&lt;=$I$8, INDEX('Precios Diarios'!$E$2:$E$463, $G$8 - 1 + 106 - 1), NA())</f>
        <v>549497.04</v>
      </c>
      <c r="R107">
        <f ca="1">IF(106&lt;=$I$8, INDEX('Precios Diarios'!$F$2:$F$463, $G$8 - 1 + 106 - 1), NA())</f>
        <v>9124.51</v>
      </c>
    </row>
    <row r="108" spans="16:18">
      <c r="P108" s="1">
        <f ca="1">IF(107&lt;=$I$8, INDEX('Precios Diarios'!$A$2:$A$463, $G$8 - 1 + 107 - 1), NA())</f>
        <v>46162</v>
      </c>
      <c r="Q108">
        <f ca="1">IF(107&lt;=$I$8, INDEX('Precios Diarios'!$E$2:$E$463, $G$8 - 1 + 107 - 1), NA())</f>
        <v>542653.56000000006</v>
      </c>
      <c r="R108">
        <f ca="1">IF(107&lt;=$I$8, INDEX('Precios Diarios'!$F$2:$F$463, $G$8 - 1 + 107 - 1), NA())</f>
        <v>9083.67</v>
      </c>
    </row>
    <row r="109" spans="16:18">
      <c r="P109" s="1">
        <f ca="1">IF(108&lt;=$I$8, INDEX('Precios Diarios'!$A$2:$A$463, $G$8 - 1 + 108 - 1), NA())</f>
        <v>46163</v>
      </c>
      <c r="Q109">
        <f ca="1">IF(108&lt;=$I$8, INDEX('Precios Diarios'!$E$2:$E$463, $G$8 - 1 + 108 - 1), NA())</f>
        <v>538706</v>
      </c>
      <c r="R109">
        <f ca="1">IF(108&lt;=$I$8, INDEX('Precios Diarios'!$F$2:$F$463, $G$8 - 1 + 108 - 1), NA())</f>
        <v>9067.51</v>
      </c>
    </row>
    <row r="110" spans="16:18">
      <c r="P110" s="1">
        <f ca="1">IF(109&lt;=$I$8, INDEX('Precios Diarios'!$A$2:$A$463, $G$8 - 1 + 109 - 1), NA())</f>
        <v>46164</v>
      </c>
      <c r="Q110">
        <f ca="1">IF(109&lt;=$I$8, INDEX('Precios Diarios'!$E$2:$E$463, $G$8 - 1 + 109 - 1), NA())</f>
        <v>536475.16</v>
      </c>
      <c r="R110">
        <f ca="1">IF(109&lt;=$I$8, INDEX('Precios Diarios'!$F$2:$F$463, $G$8 - 1 + 109 - 1), NA())</f>
        <v>9005.69</v>
      </c>
    </row>
    <row r="111" spans="16:18">
      <c r="P111" s="1">
        <f ca="1">IF(110&lt;=$I$8, INDEX('Precios Diarios'!$A$2:$A$463, $G$8 - 1 + 110 - 1), NA())</f>
        <v>46166</v>
      </c>
      <c r="Q111">
        <f ca="1">IF(110&lt;=$I$8, INDEX('Precios Diarios'!$E$2:$E$463, $G$8 - 1 + 110 - 1), NA())</f>
        <v>534890.79</v>
      </c>
      <c r="R111">
        <f ca="1">IF(110&lt;=$I$8, INDEX('Precios Diarios'!$F$2:$F$463, $G$8 - 1 + 110 - 1), NA())</f>
        <v>8979.09</v>
      </c>
    </row>
    <row r="112" spans="16:18">
      <c r="P112" s="1">
        <f ca="1">IF(111&lt;=$I$8, INDEX('Precios Diarios'!$A$2:$A$463, $G$8 - 1 + 111 - 1), NA())</f>
        <v>46167</v>
      </c>
      <c r="Q112">
        <f ca="1">IF(111&lt;=$I$8, INDEX('Precios Diarios'!$E$2:$E$463, $G$8 - 1 + 111 - 1), NA())</f>
        <v>528012.68000000005</v>
      </c>
      <c r="R112">
        <f ca="1">IF(111&lt;=$I$8, INDEX('Precios Diarios'!$F$2:$F$463, $G$8 - 1 + 111 - 1), NA())</f>
        <v>8863.6299999999992</v>
      </c>
    </row>
    <row r="113" spans="16:18">
      <c r="P113" s="1">
        <f ca="1">IF(112&lt;=$I$8, INDEX('Precios Diarios'!$A$2:$A$463, $G$8 - 1 + 112 - 1), NA())</f>
        <v>46168</v>
      </c>
      <c r="Q113">
        <f ca="1">IF(112&lt;=$I$8, INDEX('Precios Diarios'!$E$2:$E$463, $G$8 - 1 + 112 - 1), NA())</f>
        <v>531333.63</v>
      </c>
      <c r="R113">
        <f ca="1">IF(112&lt;=$I$8, INDEX('Precios Diarios'!$F$2:$F$463, $G$8 - 1 + 112 - 1), NA())</f>
        <v>9008.85</v>
      </c>
    </row>
    <row r="114" spans="16:18">
      <c r="P114" s="1">
        <f ca="1">IF(113&lt;=$I$8, INDEX('Precios Diarios'!$A$2:$A$463, $G$8 - 1 + 113 - 1), NA())</f>
        <v>46169</v>
      </c>
      <c r="Q114">
        <f ca="1">IF(113&lt;=$I$8, INDEX('Precios Diarios'!$E$2:$E$463, $G$8 - 1 + 113 - 1), NA())</f>
        <v>519864.63</v>
      </c>
      <c r="R114">
        <f ca="1">IF(113&lt;=$I$8, INDEX('Precios Diarios'!$F$2:$F$463, $G$8 - 1 + 113 - 1), NA())</f>
        <v>8719.82</v>
      </c>
    </row>
    <row r="115" spans="16:18">
      <c r="P115" s="1">
        <f ca="1">IF(114&lt;=$I$8, INDEX('Precios Diarios'!$A$2:$A$463, $G$8 - 1 + 114 - 1), NA())</f>
        <v>46170</v>
      </c>
      <c r="Q115">
        <f ca="1">IF(114&lt;=$I$8, INDEX('Precios Diarios'!$E$2:$E$463, $G$8 - 1 + 114 - 1), NA())</f>
        <v>528181.9</v>
      </c>
      <c r="R115">
        <f ca="1">IF(114&lt;=$I$8, INDEX('Precios Diarios'!$F$2:$F$463, $G$8 - 1 + 114 - 1), NA())</f>
        <v>8880.1200000000008</v>
      </c>
    </row>
    <row r="116" spans="16:18">
      <c r="P116" s="1">
        <f ca="1">IF(115&lt;=$I$8, INDEX('Precios Diarios'!$A$2:$A$463, $G$8 - 1 + 115 - 1), NA())</f>
        <v>46171</v>
      </c>
      <c r="Q116">
        <f ca="1">IF(115&lt;=$I$8, INDEX('Precios Diarios'!$E$2:$E$463, $G$8 - 1 + 115 - 1), NA())</f>
        <v>535366.31999999995</v>
      </c>
      <c r="R116">
        <f ca="1">IF(115&lt;=$I$8, INDEX('Precios Diarios'!$F$2:$F$463, $G$8 - 1 + 115 - 1), NA())</f>
        <v>8876.7099999999991</v>
      </c>
    </row>
    <row r="117" spans="16:18">
      <c r="P117" s="1">
        <f ca="1">IF(116&lt;=$I$8, INDEX('Precios Diarios'!$A$2:$A$463, $G$8 - 1 + 116 - 1), NA())</f>
        <v>46173</v>
      </c>
      <c r="Q117">
        <f ca="1">IF(116&lt;=$I$8, INDEX('Precios Diarios'!$E$2:$E$463, $G$8 - 1 + 116 - 1), NA())</f>
        <v>539471.78</v>
      </c>
      <c r="R117">
        <f ca="1">IF(116&lt;=$I$8, INDEX('Precios Diarios'!$F$2:$F$463, $G$8 - 1 + 116 - 1), NA())</f>
        <v>8944.7900000000009</v>
      </c>
    </row>
    <row r="118" spans="16:18">
      <c r="P118" s="1">
        <f ca="1">IF(117&lt;=$I$8, INDEX('Precios Diarios'!$A$2:$A$463, $G$8 - 1 + 117 - 1), NA())</f>
        <v>46174</v>
      </c>
      <c r="Q118">
        <f ca="1">IF(117&lt;=$I$8, INDEX('Precios Diarios'!$E$2:$E$463, $G$8 - 1 + 117 - 1), NA())</f>
        <v>513010.68</v>
      </c>
      <c r="R118">
        <f ca="1">IF(117&lt;=$I$8, INDEX('Precios Diarios'!$F$2:$F$463, $G$8 - 1 + 117 - 1), NA())</f>
        <v>8598.36</v>
      </c>
    </row>
    <row r="119" spans="16:18">
      <c r="P119" s="1">
        <f ca="1">IF(118&lt;=$I$8, INDEX('Precios Diarios'!$A$2:$A$463, $G$8 - 1 + 118 - 1), NA())</f>
        <v>46175</v>
      </c>
      <c r="Q119">
        <f ca="1">IF(118&lt;=$I$8, INDEX('Precios Diarios'!$E$2:$E$463, $G$8 - 1 + 118 - 1), NA())</f>
        <v>517741.77</v>
      </c>
      <c r="R119">
        <f ca="1">IF(118&lt;=$I$8, INDEX('Precios Diarios'!$F$2:$F$463, $G$8 - 1 + 118 - 1), NA())</f>
        <v>8685.85</v>
      </c>
    </row>
    <row r="120" spans="16:18">
      <c r="P120" s="1">
        <f ca="1">IF(119&lt;=$I$8, INDEX('Precios Diarios'!$A$2:$A$463, $G$8 - 1 + 119 - 1), NA())</f>
        <v>46176</v>
      </c>
      <c r="Q120">
        <f ca="1">IF(119&lt;=$I$8, INDEX('Precios Diarios'!$E$2:$E$463, $G$8 - 1 + 119 - 1), NA())</f>
        <v>509959.52</v>
      </c>
      <c r="R120">
        <f ca="1">IF(119&lt;=$I$8, INDEX('Precios Diarios'!$F$2:$F$463, $G$8 - 1 + 119 - 1), NA())</f>
        <v>8445.42</v>
      </c>
    </row>
    <row r="121" spans="16:18">
      <c r="P121" s="1">
        <f ca="1">IF(120&lt;=$I$8, INDEX('Precios Diarios'!$A$2:$A$463, $G$8 - 1 + 120 - 1), NA())</f>
        <v>46177</v>
      </c>
      <c r="Q121">
        <f ca="1">IF(120&lt;=$I$8, INDEX('Precios Diarios'!$E$2:$E$463, $G$8 - 1 + 120 - 1), NA())</f>
        <v>514827.79</v>
      </c>
      <c r="R121">
        <f ca="1">IF(120&lt;=$I$8, INDEX('Precios Diarios'!$F$2:$F$463, $G$8 - 1 + 120 - 1), NA())</f>
        <v>8486.41</v>
      </c>
    </row>
    <row r="122" spans="16:18">
      <c r="P122" s="1">
        <f ca="1">IF(121&lt;=$I$8, INDEX('Precios Diarios'!$A$2:$A$463, $G$8 - 1 + 121 - 1), NA())</f>
        <v>46178</v>
      </c>
      <c r="Q122">
        <f ca="1">IF(121&lt;=$I$8, INDEX('Precios Diarios'!$E$2:$E$463, $G$8 - 1 + 121 - 1), NA())</f>
        <v>498873.89</v>
      </c>
      <c r="R122">
        <f ca="1">IF(121&lt;=$I$8, INDEX('Precios Diarios'!$F$2:$F$463, $G$8 - 1 + 121 - 1), NA())</f>
        <v>7930.15</v>
      </c>
    </row>
    <row r="123" spans="16:18">
      <c r="P123" s="1">
        <f ca="1">IF(122&lt;=$I$8, INDEX('Precios Diarios'!$A$2:$A$463, $G$8 - 1 + 122 - 1), NA())</f>
        <v>46180</v>
      </c>
      <c r="Q123">
        <f ca="1">IF(122&lt;=$I$8, INDEX('Precios Diarios'!$E$2:$E$463, $G$8 - 1 + 122 - 1), NA())</f>
        <v>502581.64</v>
      </c>
      <c r="R123">
        <f ca="1">IF(122&lt;=$I$8, INDEX('Precios Diarios'!$F$2:$F$463, $G$8 - 1 + 122 - 1), NA())</f>
        <v>7989.09</v>
      </c>
    </row>
    <row r="124" spans="16:18">
      <c r="P124" s="1">
        <f ca="1">IF(123&lt;=$I$8, INDEX('Precios Diarios'!$A$2:$A$463, $G$8 - 1 + 123 - 1), NA())</f>
        <v>46181</v>
      </c>
      <c r="Q124">
        <f ca="1">IF(123&lt;=$I$8, INDEX('Precios Diarios'!$E$2:$E$463, $G$8 - 1 + 123 - 1), NA())</f>
        <v>500882.66</v>
      </c>
      <c r="R124">
        <f ca="1">IF(123&lt;=$I$8, INDEX('Precios Diarios'!$F$2:$F$463, $G$8 - 1 + 123 - 1), NA())</f>
        <v>7904.45</v>
      </c>
    </row>
    <row r="125" spans="16:18">
      <c r="P125" s="1">
        <f ca="1">IF(124&lt;=$I$8, INDEX('Precios Diarios'!$A$2:$A$463, $G$8 - 1 + 124 - 1), NA())</f>
        <v>46182</v>
      </c>
      <c r="Q125">
        <f ca="1">IF(124&lt;=$I$8, INDEX('Precios Diarios'!$E$2:$E$463, $G$8 - 1 + 124 - 1), NA())</f>
        <v>489631.57</v>
      </c>
      <c r="R125">
        <f ca="1">IF(124&lt;=$I$8, INDEX('Precios Diarios'!$F$2:$F$463, $G$8 - 1 + 124 - 1), NA())</f>
        <v>7481.71</v>
      </c>
    </row>
    <row r="126" spans="16:18">
      <c r="P126" s="1">
        <f ca="1">IF(125&lt;=$I$8, INDEX('Precios Diarios'!$A$2:$A$463, $G$8 - 1 + 125 - 1), NA())</f>
        <v>46183</v>
      </c>
      <c r="Q126">
        <f ca="1">IF(125&lt;=$I$8, INDEX('Precios Diarios'!$E$2:$E$463, $G$8 - 1 + 125 - 1), NA())</f>
        <v>470035.18</v>
      </c>
      <c r="R126">
        <f ca="1">IF(125&lt;=$I$8, INDEX('Precios Diarios'!$F$2:$F$463, $G$8 - 1 + 125 - 1), NA())</f>
        <v>7391.02</v>
      </c>
    </row>
    <row r="127" spans="16:18">
      <c r="P127" s="1">
        <f ca="1">IF(126&lt;=$I$8, INDEX('Precios Diarios'!$A$2:$A$463, $G$8 - 1 + 126 - 1), NA())</f>
        <v>46184</v>
      </c>
      <c r="Q127">
        <f ca="1">IF(126&lt;=$I$8, INDEX('Precios Diarios'!$E$2:$E$463, $G$8 - 1 + 126 - 1), NA())</f>
        <v>460288.78</v>
      </c>
      <c r="R127">
        <f ca="1">IF(126&lt;=$I$8, INDEX('Precios Diarios'!$F$2:$F$463, $G$8 - 1 + 126 - 1), NA())</f>
        <v>7189.09</v>
      </c>
    </row>
    <row r="128" spans="16:18">
      <c r="P128" s="1">
        <f ca="1">IF(127&lt;=$I$8, INDEX('Precios Diarios'!$A$2:$A$463, $G$8 - 1 + 127 - 1), NA())</f>
        <v>46185</v>
      </c>
      <c r="Q128">
        <f ca="1">IF(127&lt;=$I$8, INDEX('Precios Diarios'!$E$2:$E$463, $G$8 - 1 + 127 - 1), NA())</f>
        <v>474321.49</v>
      </c>
      <c r="R128">
        <f ca="1">IF(127&lt;=$I$8, INDEX('Precios Diarios'!$F$2:$F$463, $G$8 - 1 + 127 - 1), NA())</f>
        <v>7636.29</v>
      </c>
    </row>
    <row r="129" spans="16:18">
      <c r="P129" s="1">
        <f ca="1">IF(128&lt;=$I$8, INDEX('Precios Diarios'!$A$2:$A$463, $G$8 - 1 + 128 - 1), NA())</f>
        <v>46187</v>
      </c>
      <c r="Q129">
        <f ca="1">IF(128&lt;=$I$8, INDEX('Precios Diarios'!$E$2:$E$463, $G$8 - 1 + 128 - 1), NA())</f>
        <v>473054.44</v>
      </c>
      <c r="R129">
        <f ca="1">IF(128&lt;=$I$8, INDEX('Precios Diarios'!$F$2:$F$463, $G$8 - 1 + 128 - 1), NA())</f>
        <v>7615.9</v>
      </c>
    </row>
    <row r="130" spans="16:18">
      <c r="P130" s="1">
        <f ca="1">IF(129&lt;=$I$8, INDEX('Precios Diarios'!$A$2:$A$463, $G$8 - 1 + 129 - 1), NA())</f>
        <v>46188</v>
      </c>
      <c r="Q130">
        <f ca="1">IF(129&lt;=$I$8, INDEX('Precios Diarios'!$E$2:$E$463, $G$8 - 1 + 129 - 1), NA())</f>
        <v>485586.27</v>
      </c>
      <c r="R130">
        <f ca="1">IF(129&lt;=$I$8, INDEX('Precios Diarios'!$F$2:$F$463, $G$8 - 1 + 129 - 1), NA())</f>
        <v>7861.16</v>
      </c>
    </row>
    <row r="131" spans="16:18">
      <c r="P131" s="1">
        <f ca="1">IF(130&lt;=$I$8, INDEX('Precios Diarios'!$A$2:$A$463, $G$8 - 1 + 130 - 1), NA())</f>
        <v>46189</v>
      </c>
      <c r="Q131">
        <f ca="1">IF(130&lt;=$I$8, INDEX('Precios Diarios'!$E$2:$E$463, $G$8 - 1 + 130 - 1), NA())</f>
        <v>478072.32000000001</v>
      </c>
      <c r="R131">
        <f ca="1">IF(130&lt;=$I$8, INDEX('Precios Diarios'!$F$2:$F$463, $G$8 - 1 + 130 - 1), NA())</f>
        <v>7715.9</v>
      </c>
    </row>
    <row r="132" spans="16:18">
      <c r="P132" s="1">
        <f ca="1">IF(131&lt;=$I$8, INDEX('Precios Diarios'!$A$2:$A$463, $G$8 - 1 + 131 - 1), NA())</f>
        <v>46190</v>
      </c>
      <c r="Q132">
        <f ca="1">IF(131&lt;=$I$8, INDEX('Precios Diarios'!$E$2:$E$463, $G$8 - 1 + 131 - 1), NA())</f>
        <v>484722.76</v>
      </c>
      <c r="R132">
        <f ca="1">IF(131&lt;=$I$8, INDEX('Precios Diarios'!$F$2:$F$463, $G$8 - 1 + 131 - 1), NA())</f>
        <v>7861.61</v>
      </c>
    </row>
    <row r="133" spans="16:18">
      <c r="P133" s="1">
        <f ca="1">IF(132&lt;=$I$8, INDEX('Precios Diarios'!$A$2:$A$463, $G$8 - 1 + 132 - 1), NA())</f>
        <v>46191</v>
      </c>
      <c r="Q133">
        <f ca="1">IF(132&lt;=$I$8, INDEX('Precios Diarios'!$E$2:$E$463, $G$8 - 1 + 132 - 1), NA())</f>
        <v>467787.84</v>
      </c>
      <c r="R133">
        <f ca="1">IF(132&lt;=$I$8, INDEX('Precios Diarios'!$F$2:$F$463, $G$8 - 1 + 132 - 1), NA())</f>
        <v>7337.25</v>
      </c>
    </row>
    <row r="134" spans="16:18">
      <c r="P134" s="1">
        <f ca="1">IF(133&lt;=$I$8, INDEX('Precios Diarios'!$A$2:$A$463, $G$8 - 1 + 133 - 1), NA())</f>
        <v>46194</v>
      </c>
      <c r="Q134">
        <f ca="1">IF(133&lt;=$I$8, INDEX('Precios Diarios'!$E$2:$E$463, $G$8 - 1 + 133 - 1), NA())</f>
        <v>467884.26</v>
      </c>
      <c r="R134">
        <f ca="1">IF(133&lt;=$I$8, INDEX('Precios Diarios'!$F$2:$F$463, $G$8 - 1 + 133 - 1), NA())</f>
        <v>7338.76</v>
      </c>
    </row>
    <row r="135" spans="16:18">
      <c r="P135" s="1">
        <f ca="1">IF(134&lt;=$I$8, INDEX('Precios Diarios'!$A$2:$A$463, $G$8 - 1 + 134 - 1), NA())</f>
        <v>46195</v>
      </c>
      <c r="Q135">
        <f ca="1">IF(134&lt;=$I$8, INDEX('Precios Diarios'!$E$2:$E$463, $G$8 - 1 + 134 - 1), NA())</f>
        <v>462955.84</v>
      </c>
      <c r="R135">
        <f ca="1">IF(134&lt;=$I$8, INDEX('Precios Diarios'!$F$2:$F$463, $G$8 - 1 + 134 - 1), NA())</f>
        <v>7254.14</v>
      </c>
    </row>
    <row r="136" spans="16:18">
      <c r="P136" s="1">
        <f ca="1">IF(135&lt;=$I$8, INDEX('Precios Diarios'!$A$2:$A$463, $G$8 - 1 + 135 - 1), NA())</f>
        <v>46196</v>
      </c>
      <c r="Q136">
        <f ca="1">IF(135&lt;=$I$8, INDEX('Precios Diarios'!$E$2:$E$463, $G$8 - 1 + 135 - 1), NA())</f>
        <v>455292.47</v>
      </c>
      <c r="R136">
        <f ca="1">IF(135&lt;=$I$8, INDEX('Precios Diarios'!$F$2:$F$463, $G$8 - 1 + 135 - 1), NA())</f>
        <v>6837.27</v>
      </c>
    </row>
    <row r="137" spans="16:18">
      <c r="P137" s="1">
        <f ca="1">IF(136&lt;=$I$8, INDEX('Precios Diarios'!$A$2:$A$463, $G$8 - 1 + 136 - 1), NA())</f>
        <v>46197</v>
      </c>
      <c r="Q137">
        <f ca="1">IF(136&lt;=$I$8, INDEX('Precios Diarios'!$E$2:$E$463, $G$8 - 1 + 136 - 1), NA())</f>
        <v>441665.28000000003</v>
      </c>
      <c r="R137">
        <f ca="1">IF(136&lt;=$I$8, INDEX('Precios Diarios'!$F$2:$F$463, $G$8 - 1 + 136 - 1), NA())</f>
        <v>6425.47</v>
      </c>
    </row>
    <row r="138" spans="16:18">
      <c r="P138" s="1">
        <f ca="1">IF(137&lt;=$I$8, INDEX('Precios Diarios'!$A$2:$A$463, $G$8 - 1 + 137 - 1), NA())</f>
        <v>46198</v>
      </c>
      <c r="Q138">
        <f ca="1">IF(137&lt;=$I$8, INDEX('Precios Diarios'!$E$2:$E$463, $G$8 - 1 + 137 - 1), NA())</f>
        <v>446517.82</v>
      </c>
      <c r="R138">
        <f ca="1">IF(137&lt;=$I$8, INDEX('Precios Diarios'!$F$2:$F$463, $G$8 - 1 + 137 - 1), NA())</f>
        <v>6464.07</v>
      </c>
    </row>
    <row r="139" spans="16:18">
      <c r="P139" s="1">
        <f ca="1">IF(138&lt;=$I$8, INDEX('Precios Diarios'!$A$2:$A$463, $G$8 - 1 + 138 - 1), NA())</f>
        <v>46199</v>
      </c>
      <c r="Q139">
        <f ca="1">IF(138&lt;=$I$8, INDEX('Precios Diarios'!$E$2:$E$463, $G$8 - 1 + 138 - 1), NA())</f>
        <v>451857.64</v>
      </c>
      <c r="R139">
        <f ca="1">IF(138&lt;=$I$8, INDEX('Precios Diarios'!$F$2:$F$463, $G$8 - 1 + 138 - 1), NA())</f>
        <v>6560.34</v>
      </c>
    </row>
    <row r="140" spans="16:18">
      <c r="P140" s="1">
        <f ca="1">IF(139&lt;=$I$8, INDEX('Precios Diarios'!$A$2:$A$463, $G$8 - 1 + 139 - 1), NA())</f>
        <v>46201</v>
      </c>
      <c r="Q140">
        <f ca="1">IF(139&lt;=$I$8, INDEX('Precios Diarios'!$E$2:$E$463, $G$8 - 1 + 139 - 1), NA())</f>
        <v>450822.98</v>
      </c>
      <c r="R140">
        <f ca="1">IF(139&lt;=$I$8, INDEX('Precios Diarios'!$F$2:$F$463, $G$8 - 1 + 139 - 1), NA())</f>
        <v>6545.32</v>
      </c>
    </row>
    <row r="141" spans="16:18">
      <c r="P141" s="1">
        <f ca="1">IF(140&lt;=$I$8, INDEX('Precios Diarios'!$A$2:$A$463, $G$8 - 1 + 140 - 1), NA())</f>
        <v>46202</v>
      </c>
      <c r="Q141">
        <f ca="1">IF(140&lt;=$I$8, INDEX('Precios Diarios'!$E$2:$E$463, $G$8 - 1 + 140 - 1), NA())</f>
        <v>445280.92</v>
      </c>
      <c r="R141">
        <f ca="1">IF(140&lt;=$I$8, INDEX('Precios Diarios'!$F$2:$F$463, $G$8 - 1 + 140 - 1), NA())</f>
        <v>6440.15</v>
      </c>
    </row>
    <row r="142" spans="16:18">
      <c r="P142" s="1">
        <f ca="1">IF(141&lt;=$I$8, INDEX('Precios Diarios'!$A$2:$A$463, $G$8 - 1 + 141 - 1), NA())</f>
        <v>46203</v>
      </c>
      <c r="Q142">
        <f ca="1">IF(141&lt;=$I$8, INDEX('Precios Diarios'!$E$2:$E$463, $G$8 - 1 + 141 - 1), NA())</f>
        <v>443563.73</v>
      </c>
      <c r="R142">
        <f ca="1">IF(141&lt;=$I$8, INDEX('Precios Diarios'!$F$2:$F$463, $G$8 - 1 + 141 - 1), NA())</f>
        <v>6557.92</v>
      </c>
    </row>
    <row r="143" spans="16:18">
      <c r="P143" s="1">
        <f ca="1">IF(142&lt;=$I$8, INDEX('Precios Diarios'!$A$2:$A$463, $G$8 - 1 + 142 - 1), NA())</f>
        <v>46204</v>
      </c>
      <c r="Q143">
        <f ca="1">IF(142&lt;=$I$8, INDEX('Precios Diarios'!$E$2:$E$463, $G$8 - 1 + 142 - 1), NA())</f>
        <v>443047.21</v>
      </c>
      <c r="R143">
        <f ca="1">IF(142&lt;=$I$8, INDEX('Precios Diarios'!$F$2:$F$463, $G$8 - 1 + 142 - 1), NA())</f>
        <v>6543.39</v>
      </c>
    </row>
    <row r="144" spans="16:18">
      <c r="P144" s="1">
        <f ca="1">IF(143&lt;=$I$8, INDEX('Precios Diarios'!$A$2:$A$463, $G$8 - 1 + 143 - 1), NA())</f>
        <v>46205</v>
      </c>
      <c r="Q144">
        <f ca="1">IF(143&lt;=$I$8, INDEX('Precios Diarios'!$E$2:$E$463, $G$8 - 1 + 143 - 1), NA())</f>
        <v>445192.99</v>
      </c>
      <c r="R144">
        <f ca="1">IF(143&lt;=$I$8, INDEX('Precios Diarios'!$F$2:$F$463, $G$8 - 1 + 143 - 1), NA())</f>
        <v>6564.5</v>
      </c>
    </row>
    <row r="145" spans="16:18">
      <c r="P145" s="1">
        <f ca="1">IF(144&lt;=$I$8, INDEX('Precios Diarios'!$A$2:$A$463, $G$8 - 1 + 144 - 1), NA())</f>
        <v>46208</v>
      </c>
      <c r="Q145">
        <f ca="1">IF(144&lt;=$I$8, INDEX('Precios Diarios'!$E$2:$E$463, $G$8 - 1 + 144 - 1), NA())</f>
        <v>442286.66</v>
      </c>
      <c r="R145">
        <f ca="1">IF(144&lt;=$I$8, INDEX('Precios Diarios'!$F$2:$F$463, $G$8 - 1 + 144 - 1), NA())</f>
        <v>6521.65</v>
      </c>
    </row>
    <row r="146" spans="16:18">
      <c r="P146" s="1">
        <f ca="1">IF(145&lt;=$I$8, INDEX('Precios Diarios'!$A$2:$A$463, $G$8 - 1 + 145 - 1), NA())</f>
        <v>46209</v>
      </c>
      <c r="Q146">
        <f ca="1">IF(145&lt;=$I$8, INDEX('Precios Diarios'!$E$2:$E$463, $G$8 - 1 + 145 - 1), NA())</f>
        <v>447956.55</v>
      </c>
      <c r="R146">
        <f ca="1">IF(145&lt;=$I$8, INDEX('Precios Diarios'!$F$2:$F$463, $G$8 - 1 + 145 - 1), NA())</f>
        <v>6675.52</v>
      </c>
    </row>
    <row r="147" spans="16:18">
      <c r="P147" s="1">
        <f ca="1">IF(146&lt;=$I$8, INDEX('Precios Diarios'!$A$2:$A$463, $G$8 - 1 + 146 - 1), NA())</f>
        <v>46210</v>
      </c>
      <c r="Q147">
        <f ca="1">IF(146&lt;=$I$8, INDEX('Precios Diarios'!$E$2:$E$463, $G$8 - 1 + 146 - 1), NA())</f>
        <v>444890.2</v>
      </c>
      <c r="R147">
        <f ca="1">IF(146&lt;=$I$8, INDEX('Precios Diarios'!$F$2:$F$463, $G$8 - 1 + 146 - 1), NA())</f>
        <v>6539.36</v>
      </c>
    </row>
    <row r="148" spans="16:18">
      <c r="P148" s="1">
        <f ca="1">IF(147&lt;=$I$8, INDEX('Precios Diarios'!$A$2:$A$463, $G$8 - 1 + 147 - 1), NA())</f>
        <v>46211</v>
      </c>
      <c r="Q148">
        <f ca="1">IF(147&lt;=$I$8, INDEX('Precios Diarios'!$E$2:$E$463, $G$8 - 1 + 147 - 1), NA())</f>
        <v>437554.51</v>
      </c>
      <c r="R148">
        <f ca="1">IF(147&lt;=$I$8, INDEX('Precios Diarios'!$F$2:$F$463, $G$8 - 1 + 147 - 1), NA())</f>
        <v>6251.67</v>
      </c>
    </row>
    <row r="149" spans="16:18">
      <c r="P149" s="1">
        <f ca="1">IF(148&lt;=$I$8, INDEX('Precios Diarios'!$A$2:$A$463, $G$8 - 1 + 148 - 1), NA())</f>
        <v>46212</v>
      </c>
      <c r="Q149">
        <f ca="1">IF(148&lt;=$I$8, INDEX('Precios Diarios'!$E$2:$E$463, $G$8 - 1 + 148 - 1), NA())</f>
        <v>437473.28000000003</v>
      </c>
      <c r="R149">
        <f ca="1">IF(148&lt;=$I$8, INDEX('Precios Diarios'!$F$2:$F$463, $G$8 - 1 + 148 - 1), NA())</f>
        <v>6394.65</v>
      </c>
    </row>
    <row r="150" spans="16:18">
      <c r="P150" s="1">
        <f ca="1">IF(149&lt;=$I$8, INDEX('Precios Diarios'!$A$2:$A$463, $G$8 - 1 + 149 - 1), NA())</f>
        <v>46213</v>
      </c>
      <c r="Q150">
        <f ca="1">IF(149&lt;=$I$8, INDEX('Precios Diarios'!$E$2:$E$463, $G$8 - 1 + 149 - 1), NA())</f>
        <v>434666.65</v>
      </c>
      <c r="R150">
        <f ca="1">IF(149&lt;=$I$8, INDEX('Precios Diarios'!$F$2:$F$463, $G$8 - 1 + 149 - 1), NA())</f>
        <v>6334.39</v>
      </c>
    </row>
    <row r="151" spans="16:18">
      <c r="P151" s="1">
        <f ca="1">IF(150&lt;=$I$8, INDEX('Precios Diarios'!$A$2:$A$463, $G$8 - 1 + 150 - 1), NA())</f>
        <v>46215</v>
      </c>
      <c r="Q151">
        <f ca="1">IF(150&lt;=$I$8, INDEX('Precios Diarios'!$E$2:$E$463, $G$8 - 1 + 150 - 1), NA())</f>
        <v>430510.23</v>
      </c>
      <c r="R151">
        <f ca="1">IF(150&lt;=$I$8, INDEX('Precios Diarios'!$F$2:$F$463, $G$8 - 1 + 150 - 1), NA())</f>
        <v>6273.82</v>
      </c>
    </row>
    <row r="152" spans="16:18">
      <c r="P152" s="1">
        <f ca="1">IF(151&lt;=$I$8, INDEX('Precios Diarios'!$A$2:$A$463, $G$8 - 1 + 151 - 1), NA())</f>
        <v>46216</v>
      </c>
      <c r="Q152">
        <f ca="1">IF(151&lt;=$I$8, INDEX('Precios Diarios'!$E$2:$E$463, $G$8 - 1 + 151 - 1), NA())</f>
        <v>415842</v>
      </c>
      <c r="R152">
        <f ca="1">IF(151&lt;=$I$8, INDEX('Precios Diarios'!$F$2:$F$463, $G$8 - 1 + 151 - 1), NA())</f>
        <v>5996.16</v>
      </c>
    </row>
    <row r="153" spans="16:18">
      <c r="P153" s="1">
        <f ca="1">IF(152&lt;=$I$8, INDEX('Precios Diarios'!$A$2:$A$463, $G$8 - 1 + 152 - 1), NA())</f>
        <v>46217</v>
      </c>
      <c r="Q153">
        <f ca="1">IF(152&lt;=$I$8, INDEX('Precios Diarios'!$E$2:$E$463, $G$8 - 1 + 152 - 1), NA())</f>
        <v>425658.87</v>
      </c>
      <c r="R153">
        <f ca="1">IF(152&lt;=$I$8, INDEX('Precios Diarios'!$F$2:$F$463, $G$8 - 1 + 152 - 1), NA())</f>
        <v>6160.11</v>
      </c>
    </row>
    <row r="154" spans="16:18">
      <c r="P154" s="1">
        <f ca="1">IF(153&lt;=$I$8, INDEX('Precios Diarios'!$A$2:$A$463, $G$8 - 1 + 153 - 1), NA())</f>
        <v>46218</v>
      </c>
      <c r="Q154">
        <f ca="1">IF(153&lt;=$I$8, INDEX('Precios Diarios'!$E$2:$E$463, $G$8 - 1 + 153 - 1), NA())</f>
        <v>420145.43</v>
      </c>
      <c r="R154">
        <f ca="1">IF(153&lt;=$I$8, INDEX('Precios Diarios'!$F$2:$F$463, $G$8 - 1 + 153 - 1), NA())</f>
        <v>5933.36</v>
      </c>
    </row>
    <row r="155" spans="16:18">
      <c r="P155" s="1">
        <f ca="1">IF(154&lt;=$I$8, INDEX('Precios Diarios'!$A$2:$A$463, $G$8 - 1 + 154 - 1), NA())</f>
        <v>46219</v>
      </c>
      <c r="Q155">
        <f ca="1">IF(154&lt;=$I$8, INDEX('Precios Diarios'!$E$2:$E$463, $G$8 - 1 + 154 - 1), NA())</f>
        <v>415045.52</v>
      </c>
      <c r="R155">
        <f ca="1">IF(154&lt;=$I$8, INDEX('Precios Diarios'!$F$2:$F$463, $G$8 - 1 + 154 - 1), NA())</f>
        <v>5821.01</v>
      </c>
    </row>
    <row r="156" spans="16:18">
      <c r="P156" s="1">
        <f ca="1">IF(155&lt;=$I$8, INDEX('Precios Diarios'!$A$2:$A$463, $G$8 - 1 + 155 - 1), NA())</f>
        <v>46220</v>
      </c>
      <c r="Q156">
        <f ca="1">IF(155&lt;=$I$8, INDEX('Precios Diarios'!$E$2:$E$463, $G$8 - 1 + 155 - 1), NA())</f>
        <v>417867.6</v>
      </c>
      <c r="R156">
        <f ca="1">IF(155&lt;=$I$8, INDEX('Precios Diarios'!$F$2:$F$463, $G$8 - 1 + 155 - 1), NA())</f>
        <v>5835.59</v>
      </c>
    </row>
    <row r="157" spans="16:18">
      <c r="P157" s="1">
        <f ca="1">IF(156&lt;=$I$8, INDEX('Precios Diarios'!$A$2:$A$463, $G$8 - 1 + 156 - 1), NA())</f>
        <v>46222</v>
      </c>
      <c r="Q157">
        <f ca="1">IF(156&lt;=$I$8, INDEX('Precios Diarios'!$E$2:$E$463, $G$8 - 1 + 156 - 1), NA())</f>
        <v>421708.27</v>
      </c>
      <c r="R157">
        <f ca="1">IF(156&lt;=$I$8, INDEX('Precios Diarios'!$F$2:$F$463, $G$8 - 1 + 156 - 1), NA())</f>
        <v>5889.22</v>
      </c>
    </row>
    <row r="158" spans="16:18">
      <c r="P158" s="1">
        <f ca="1">IF(157&lt;=$I$8, INDEX('Precios Diarios'!$A$2:$A$463, $G$8 - 1 + 157 - 1), NA())</f>
        <v>46223</v>
      </c>
      <c r="Q158">
        <f ca="1">IF(157&lt;=$I$8, INDEX('Precios Diarios'!$E$2:$E$463, $G$8 - 1 + 157 - 1), NA())</f>
        <v>419818.6</v>
      </c>
      <c r="R158">
        <f ca="1">IF(157&lt;=$I$8, INDEX('Precios Diarios'!$F$2:$F$463, $G$8 - 1 + 157 - 1), NA())</f>
        <v>5946.32</v>
      </c>
    </row>
    <row r="159" spans="16:18">
      <c r="P159" s="1">
        <f ca="1">IF(158&lt;=$I$8, INDEX('Precios Diarios'!$A$2:$A$463, $G$8 - 1 + 158 - 1), NA())</f>
        <v>46224</v>
      </c>
      <c r="Q159">
        <f ca="1">IF(158&lt;=$I$8, INDEX('Precios Diarios'!$E$2:$E$463, $G$8 - 1 + 158 - 1), NA())</f>
        <v>422437.4</v>
      </c>
      <c r="R159">
        <f ca="1">IF(158&lt;=$I$8, INDEX('Precios Diarios'!$F$2:$F$463, $G$8 - 1 + 158 - 1), NA())</f>
        <v>6105.01</v>
      </c>
    </row>
    <row r="160" spans="16:18">
      <c r="P160" s="1">
        <f ca="1">IF(159&lt;=$I$8, INDEX('Precios Diarios'!$A$2:$A$463, $G$8 - 1 + 159 - 1), NA())</f>
        <v>46225</v>
      </c>
      <c r="Q160">
        <f ca="1">IF(159&lt;=$I$8, INDEX('Precios Diarios'!$E$2:$E$463, $G$8 - 1 + 159 - 1), NA())</f>
        <v>428701.51</v>
      </c>
      <c r="R160">
        <f ca="1">IF(159&lt;=$I$8, INDEX('Precios Diarios'!$F$2:$F$463, $G$8 - 1 + 159 - 1), NA())</f>
        <v>6204.69</v>
      </c>
    </row>
    <row r="161" spans="16:18">
      <c r="P161" s="1">
        <f ca="1">IF(160&lt;=$I$8, INDEX('Precios Diarios'!$A$2:$A$463, $G$8 - 1 + 160 - 1), NA())</f>
        <v>46226</v>
      </c>
      <c r="Q161">
        <f ca="1">IF(160&lt;=$I$8, INDEX('Precios Diarios'!$E$2:$E$463, $G$8 - 1 + 160 - 1), NA())</f>
        <v>417969.65</v>
      </c>
      <c r="R161">
        <f ca="1">IF(160&lt;=$I$8, INDEX('Precios Diarios'!$F$2:$F$463, $G$8 - 1 + 160 - 1), NA())</f>
        <v>5969.9</v>
      </c>
    </row>
    <row r="162" spans="16:18">
      <c r="P162" s="1">
        <f ca="1">IF(161&lt;=$I$8, INDEX('Precios Diarios'!$A$2:$A$463, $G$8 - 1 + 161 - 1), NA())</f>
        <v>46227</v>
      </c>
      <c r="Q162">
        <f ca="1">IF(161&lt;=$I$8, INDEX('Precios Diarios'!$E$2:$E$463, $G$8 - 1 + 161 - 1), NA())</f>
        <v>420138.72</v>
      </c>
      <c r="R162">
        <f ca="1">IF(161&lt;=$I$8, INDEX('Precios Diarios'!$F$2:$F$463, $G$8 - 1 + 161 - 1), NA())</f>
        <v>6058.52</v>
      </c>
    </row>
    <row r="163" spans="16:18">
      <c r="P163" s="1">
        <f ca="1">IF(162&lt;=$I$8, INDEX('Precios Diarios'!$A$2:$A$463, $G$8 - 1 + 162 - 1), NA())</f>
        <v>46229</v>
      </c>
      <c r="Q163">
        <f ca="1">IF(162&lt;=$I$8, INDEX('Precios Diarios'!$E$2:$E$463, $G$8 - 1 + 162 - 1), NA())</f>
        <v>420695.83</v>
      </c>
      <c r="R163">
        <f ca="1">IF(162&lt;=$I$8, INDEX('Precios Diarios'!$F$2:$F$463, $G$8 - 1 + 162 - 1), NA())</f>
        <v>6066.56</v>
      </c>
    </row>
    <row r="164" spans="16:18">
      <c r="P164" s="1">
        <f ca="1">IF(163&lt;=$I$8, INDEX('Precios Diarios'!$A$2:$A$463, $G$8 - 1 + 163 - 1), NA())</f>
        <v>46230</v>
      </c>
      <c r="Q164">
        <f ca="1">IF(163&lt;=$I$8, INDEX('Precios Diarios'!$E$2:$E$463, $G$8 - 1 + 163 - 1), NA())</f>
        <v>419762.84</v>
      </c>
      <c r="R164">
        <f ca="1">IF(163&lt;=$I$8, INDEX('Precios Diarios'!$F$2:$F$463, $G$8 - 1 + 163 - 1), NA())</f>
        <v>6023.9</v>
      </c>
    </row>
    <row r="165" spans="16:18">
      <c r="P165" s="1">
        <f ca="1">IF(164&lt;=$I$8, INDEX('Precios Diarios'!$A$2:$A$463, $G$8 - 1 + 164 - 1), NA())</f>
        <v>46231</v>
      </c>
      <c r="Q165">
        <f ca="1">IF(164&lt;=$I$8, INDEX('Precios Diarios'!$E$2:$E$463, $G$8 - 1 + 164 - 1), NA())</f>
        <v>416705.95</v>
      </c>
      <c r="R165">
        <f ca="1">IF(164&lt;=$I$8, INDEX('Precios Diarios'!$F$2:$F$463, $G$8 - 1 + 164 - 1), NA())</f>
        <v>5915.22</v>
      </c>
    </row>
    <row r="166" spans="16:18">
      <c r="P166" s="1">
        <f ca="1">IF(165&lt;=$I$8, INDEX('Precios Diarios'!$A$2:$A$463, $G$8 - 1 + 165 - 1), NA())</f>
        <v>46232</v>
      </c>
      <c r="Q166">
        <f ca="1">IF(165&lt;=$I$8, INDEX('Precios Diarios'!$E$2:$E$463, $G$8 - 1 + 165 - 1), NA())</f>
        <v>415185.17</v>
      </c>
      <c r="R166">
        <f ca="1">IF(165&lt;=$I$8, INDEX('Precios Diarios'!$F$2:$F$463, $G$8 - 1 + 165 - 1), NA())</f>
        <v>5954.31</v>
      </c>
    </row>
    <row r="167" spans="16:18">
      <c r="P167" s="1">
        <f ca="1">IF(166&lt;=$I$8, INDEX('Precios Diarios'!$A$2:$A$463, $G$8 - 1 + 166 - 1), NA())</f>
        <v>46233</v>
      </c>
      <c r="Q167">
        <f ca="1">IF(166&lt;=$I$8, INDEX('Precios Diarios'!$E$2:$E$463, $G$8 - 1 + 166 - 1), NA())</f>
        <v>411536.8</v>
      </c>
      <c r="R167">
        <f ca="1">IF(166&lt;=$I$8, INDEX('Precios Diarios'!$F$2:$F$463, $G$8 - 1 + 166 - 1), NA())</f>
        <v>5903.4</v>
      </c>
    </row>
    <row r="168" spans="16:18">
      <c r="P168" s="1">
        <f ca="1">IF(167&lt;=$I$8, INDEX('Precios Diarios'!$A$2:$A$463, $G$8 - 1 + 167 - 1), NA())</f>
        <v>46234</v>
      </c>
      <c r="Q168">
        <f ca="1">IF(167&lt;=$I$8, INDEX('Precios Diarios'!$E$2:$E$463, $G$8 - 1 + 167 - 1), NA())</f>
        <v>406417.81</v>
      </c>
      <c r="R168">
        <f ca="1">IF(167&lt;=$I$8, INDEX('Precios Diarios'!$F$2:$F$463, $G$8 - 1 + 167 - 1), NA())</f>
        <v>5780.55</v>
      </c>
    </row>
    <row r="169" spans="16:18">
      <c r="P169" s="1">
        <f ca="1">IF(168&lt;=$I$8, INDEX('Precios Diarios'!$A$2:$A$463, $G$8 - 1 + 168 - 1), NA())</f>
        <v>46236</v>
      </c>
      <c r="Q169">
        <f ca="1">IF(168&lt;=$I$8, INDEX('Precios Diarios'!$E$2:$E$463, $G$8 - 1 + 168 - 1), NA())</f>
        <v>407927.92</v>
      </c>
      <c r="R169">
        <f ca="1">IF(168&lt;=$I$8, INDEX('Precios Diarios'!$F$2:$F$463, $G$8 - 1 + 168 - 1), NA())</f>
        <v>5802.02</v>
      </c>
    </row>
    <row r="170" spans="16:18">
      <c r="P170" s="1">
        <f ca="1">IF(169&lt;=$I$8, INDEX('Precios Diarios'!$A$2:$A$463, $G$8 - 1 + 169 - 1), NA())</f>
        <v>46237</v>
      </c>
      <c r="Q170">
        <f ca="1">IF(169&lt;=$I$8, INDEX('Precios Diarios'!$E$2:$E$463, $G$8 - 1 + 169 - 1), NA())</f>
        <v>420460.36</v>
      </c>
      <c r="R170">
        <f ca="1">IF(169&lt;=$I$8, INDEX('Precios Diarios'!$F$2:$F$463, $G$8 - 1 + 169 - 1), NA())</f>
        <v>6011.03</v>
      </c>
    </row>
    <row r="171" spans="16:18">
      <c r="P171" s="1">
        <f ca="1">IF(170&lt;=$I$8, INDEX('Precios Diarios'!$A$2:$A$463, $G$8 - 1 + 170 - 1), NA())</f>
        <v>46238</v>
      </c>
      <c r="Q171">
        <f ca="1">IF(170&lt;=$I$8, INDEX('Precios Diarios'!$E$2:$E$463, $G$8 - 1 + 170 - 1), NA())</f>
        <v>422326.78</v>
      </c>
      <c r="R171">
        <f ca="1">IF(170&lt;=$I$8, INDEX('Precios Diarios'!$F$2:$F$463, $G$8 - 1 + 170 - 1), NA())</f>
        <v>6193.11</v>
      </c>
    </row>
    <row r="172" spans="16:18">
      <c r="P172" s="1">
        <f ca="1">IF(171&lt;=$I$8, INDEX('Precios Diarios'!$A$2:$A$463, $G$8 - 1 + 171 - 1), NA())</f>
        <v>46239</v>
      </c>
      <c r="Q172">
        <f ca="1">IF(171&lt;=$I$8, INDEX('Precios Diarios'!$E$2:$E$463, $G$8 - 1 + 171 - 1), NA())</f>
        <v>434216.22</v>
      </c>
      <c r="R172">
        <f ca="1">IF(171&lt;=$I$8, INDEX('Precios Diarios'!$F$2:$F$463, $G$8 - 1 + 171 - 1), NA())</f>
        <v>6350.84</v>
      </c>
    </row>
    <row r="173" spans="16:18">
      <c r="P173" s="1">
        <f ca="1">IF(172&lt;=$I$8, INDEX('Precios Diarios'!$A$2:$A$463, $G$8 - 1 + 172 - 1), NA())</f>
        <v>46240</v>
      </c>
      <c r="Q173">
        <f ca="1">IF(172&lt;=$I$8, INDEX('Precios Diarios'!$E$2:$E$463, $G$8 - 1 + 172 - 1), NA())</f>
        <v>430782.2</v>
      </c>
      <c r="R173">
        <f ca="1">IF(172&lt;=$I$8, INDEX('Precios Diarios'!$F$2:$F$463, $G$8 - 1 + 172 - 1), NA())</f>
        <v>6239.23</v>
      </c>
    </row>
    <row r="174" spans="16:18">
      <c r="P174" s="1">
        <f ca="1">IF(173&lt;=$I$8, INDEX('Precios Diarios'!$A$2:$A$463, $G$8 - 1 + 173 - 1), NA())</f>
        <v>46241</v>
      </c>
      <c r="Q174">
        <f ca="1">IF(173&lt;=$I$8, INDEX('Precios Diarios'!$E$2:$E$463, $G$8 - 1 + 173 - 1), NA())</f>
        <v>440805.37</v>
      </c>
      <c r="R174">
        <f ca="1">IF(173&lt;=$I$8, INDEX('Precios Diarios'!$F$2:$F$463, $G$8 - 1 + 173 - 1), NA())</f>
        <v>6431.47</v>
      </c>
    </row>
    <row r="175" spans="16:18">
      <c r="P175" s="1">
        <f ca="1">IF(174&lt;=$I$8, INDEX('Precios Diarios'!$A$2:$A$463, $G$8 - 1 + 174 - 1), NA())</f>
        <v>46243</v>
      </c>
      <c r="Q175">
        <f ca="1">IF(174&lt;=$I$8, INDEX('Precios Diarios'!$E$2:$E$463, $G$8 - 1 + 174 - 1), NA())</f>
        <v>440431.33</v>
      </c>
      <c r="R175">
        <f ca="1">IF(174&lt;=$I$8, INDEX('Precios Diarios'!$F$2:$F$463, $G$8 - 1 + 174 - 1), NA())</f>
        <v>6426.01</v>
      </c>
    </row>
    <row r="176" spans="16:18">
      <c r="P176" s="1">
        <f ca="1">IF(175&lt;=$I$8, INDEX('Precios Diarios'!$A$2:$A$463, $G$8 - 1 + 175 - 1), NA())</f>
        <v>46244</v>
      </c>
      <c r="Q176">
        <f ca="1">IF(175&lt;=$I$8, INDEX('Precios Diarios'!$E$2:$E$463, $G$8 - 1 + 175 - 1), NA())</f>
        <v>442572.21</v>
      </c>
      <c r="R176">
        <f ca="1">IF(175&lt;=$I$8, INDEX('Precios Diarios'!$F$2:$F$463, $G$8 - 1 + 175 - 1), NA())</f>
        <v>6606.01</v>
      </c>
    </row>
    <row r="177" spans="16:18">
      <c r="P177" s="1">
        <f ca="1">IF(176&lt;=$I$8, INDEX('Precios Diarios'!$A$2:$A$463, $G$8 - 1 + 176 - 1), NA())</f>
        <v>46245</v>
      </c>
      <c r="Q177">
        <f ca="1">IF(176&lt;=$I$8, INDEX('Precios Diarios'!$E$2:$E$463, $G$8 - 1 + 176 - 1), NA())</f>
        <v>445260.81</v>
      </c>
      <c r="R177">
        <f ca="1">IF(176&lt;=$I$8, INDEX('Precios Diarios'!$F$2:$F$463, $G$8 - 1 + 176 - 1), NA())</f>
        <v>6518.69</v>
      </c>
    </row>
    <row r="178" spans="16:18">
      <c r="P178" s="1" t="e">
        <f ca="1">IF(177&lt;=$I$8, INDEX('Precios Diarios'!$A$2:$A$463, $G$8 - 1 + 177 - 1), NA())</f>
        <v>#N/A</v>
      </c>
      <c r="Q178" t="e">
        <f ca="1">IF(177&lt;=$I$8, INDEX('Precios Diarios'!$E$2:$E$463, $G$8 - 1 + 177 - 1), NA())</f>
        <v>#N/A</v>
      </c>
      <c r="R178" t="e">
        <f ca="1">IF(177&lt;=$I$8, INDEX('Precios Diarios'!$F$2:$F$463, $G$8 - 1 + 177 - 1), NA())</f>
        <v>#N/A</v>
      </c>
    </row>
    <row r="179" spans="16:18">
      <c r="P179" s="1" t="e">
        <f ca="1">IF(178&lt;=$I$8, INDEX('Precios Diarios'!$A$2:$A$463, $G$8 - 1 + 178 - 1), NA())</f>
        <v>#N/A</v>
      </c>
      <c r="Q179" t="e">
        <f ca="1">IF(178&lt;=$I$8, INDEX('Precios Diarios'!$E$2:$E$463, $G$8 - 1 + 178 - 1), NA())</f>
        <v>#N/A</v>
      </c>
      <c r="R179" t="e">
        <f ca="1">IF(178&lt;=$I$8, INDEX('Precios Diarios'!$F$2:$F$463, $G$8 - 1 + 178 - 1), NA())</f>
        <v>#N/A</v>
      </c>
    </row>
    <row r="180" spans="16:18">
      <c r="P180" s="1" t="e">
        <f ca="1">IF(179&lt;=$I$8, INDEX('Precios Diarios'!$A$2:$A$463, $G$8 - 1 + 179 - 1), NA())</f>
        <v>#N/A</v>
      </c>
      <c r="Q180" t="e">
        <f ca="1">IF(179&lt;=$I$8, INDEX('Precios Diarios'!$E$2:$E$463, $G$8 - 1 + 179 - 1), NA())</f>
        <v>#N/A</v>
      </c>
      <c r="R180" t="e">
        <f ca="1">IF(179&lt;=$I$8, INDEX('Precios Diarios'!$F$2:$F$463, $G$8 - 1 + 179 - 1), NA())</f>
        <v>#N/A</v>
      </c>
    </row>
    <row r="181" spans="16:18">
      <c r="P181" s="1" t="e">
        <f ca="1">IF(180&lt;=$I$8, INDEX('Precios Diarios'!$A$2:$A$463, $G$8 - 1 + 180 - 1), NA())</f>
        <v>#N/A</v>
      </c>
      <c r="Q181" t="e">
        <f ca="1">IF(180&lt;=$I$8, INDEX('Precios Diarios'!$E$2:$E$463, $G$8 - 1 + 180 - 1), NA())</f>
        <v>#N/A</v>
      </c>
      <c r="R181" t="e">
        <f ca="1">IF(180&lt;=$I$8, INDEX('Precios Diarios'!$F$2:$F$463, $G$8 - 1 + 180 - 1), NA())</f>
        <v>#N/A</v>
      </c>
    </row>
    <row r="182" spans="16:18">
      <c r="P182" s="1" t="e">
        <f ca="1">IF(181&lt;=$I$8, INDEX('Precios Diarios'!$A$2:$A$463, $G$8 - 1 + 181 - 1), NA())</f>
        <v>#N/A</v>
      </c>
      <c r="Q182" t="e">
        <f ca="1">IF(181&lt;=$I$8, INDEX('Precios Diarios'!$E$2:$E$463, $G$8 - 1 + 181 - 1), NA())</f>
        <v>#N/A</v>
      </c>
      <c r="R182" t="e">
        <f ca="1">IF(181&lt;=$I$8, INDEX('Precios Diarios'!$F$2:$F$463, $G$8 - 1 + 181 - 1), NA())</f>
        <v>#N/A</v>
      </c>
    </row>
    <row r="183" spans="16:18">
      <c r="P183" s="1" t="e">
        <f ca="1">IF(182&lt;=$I$8, INDEX('Precios Diarios'!$A$2:$A$463, $G$8 - 1 + 182 - 1), NA())</f>
        <v>#N/A</v>
      </c>
      <c r="Q183" t="e">
        <f ca="1">IF(182&lt;=$I$8, INDEX('Precios Diarios'!$E$2:$E$463, $G$8 - 1 + 182 - 1), NA())</f>
        <v>#N/A</v>
      </c>
      <c r="R183" t="e">
        <f ca="1">IF(182&lt;=$I$8, INDEX('Precios Diarios'!$F$2:$F$463, $G$8 - 1 + 182 - 1), NA())</f>
        <v>#N/A</v>
      </c>
    </row>
    <row r="184" spans="16:18">
      <c r="P184" s="1" t="e">
        <f ca="1">IF(183&lt;=$I$8, INDEX('Precios Diarios'!$A$2:$A$463, $G$8 - 1 + 183 - 1), NA())</f>
        <v>#N/A</v>
      </c>
      <c r="Q184" t="e">
        <f ca="1">IF(183&lt;=$I$8, INDEX('Precios Diarios'!$E$2:$E$463, $G$8 - 1 + 183 - 1), NA())</f>
        <v>#N/A</v>
      </c>
      <c r="R184" t="e">
        <f ca="1">IF(183&lt;=$I$8, INDEX('Precios Diarios'!$F$2:$F$463, $G$8 - 1 + 183 - 1), NA())</f>
        <v>#N/A</v>
      </c>
    </row>
    <row r="185" spans="16:18">
      <c r="P185" s="1" t="e">
        <f ca="1">IF(184&lt;=$I$8, INDEX('Precios Diarios'!$A$2:$A$463, $G$8 - 1 + 184 - 1), NA())</f>
        <v>#N/A</v>
      </c>
      <c r="Q185" t="e">
        <f ca="1">IF(184&lt;=$I$8, INDEX('Precios Diarios'!$E$2:$E$463, $G$8 - 1 + 184 - 1), NA())</f>
        <v>#N/A</v>
      </c>
      <c r="R185" t="e">
        <f ca="1">IF(184&lt;=$I$8, INDEX('Precios Diarios'!$F$2:$F$463, $G$8 - 1 + 184 - 1), NA())</f>
        <v>#N/A</v>
      </c>
    </row>
    <row r="186" spans="16:18">
      <c r="P186" s="1" t="e">
        <f ca="1">IF(185&lt;=$I$8, INDEX('Precios Diarios'!$A$2:$A$463, $G$8 - 1 + 185 - 1), NA())</f>
        <v>#N/A</v>
      </c>
      <c r="Q186" t="e">
        <f ca="1">IF(185&lt;=$I$8, INDEX('Precios Diarios'!$E$2:$E$463, $G$8 - 1 + 185 - 1), NA())</f>
        <v>#N/A</v>
      </c>
      <c r="R186" t="e">
        <f ca="1">IF(185&lt;=$I$8, INDEX('Precios Diarios'!$F$2:$F$463, $G$8 - 1 + 185 - 1), NA())</f>
        <v>#N/A</v>
      </c>
    </row>
    <row r="187" spans="16:18">
      <c r="P187" s="1" t="e">
        <f ca="1">IF(186&lt;=$I$8, INDEX('Precios Diarios'!$A$2:$A$463, $G$8 - 1 + 186 - 1), NA())</f>
        <v>#N/A</v>
      </c>
      <c r="Q187" t="e">
        <f ca="1">IF(186&lt;=$I$8, INDEX('Precios Diarios'!$E$2:$E$463, $G$8 - 1 + 186 - 1), NA())</f>
        <v>#N/A</v>
      </c>
      <c r="R187" t="e">
        <f ca="1">IF(186&lt;=$I$8, INDEX('Precios Diarios'!$F$2:$F$463, $G$8 - 1 + 186 - 1), NA())</f>
        <v>#N/A</v>
      </c>
    </row>
    <row r="188" spans="16:18">
      <c r="P188" s="1" t="e">
        <f ca="1">IF(187&lt;=$I$8, INDEX('Precios Diarios'!$A$2:$A$463, $G$8 - 1 + 187 - 1), NA())</f>
        <v>#N/A</v>
      </c>
      <c r="Q188" t="e">
        <f ca="1">IF(187&lt;=$I$8, INDEX('Precios Diarios'!$E$2:$E$463, $G$8 - 1 + 187 - 1), NA())</f>
        <v>#N/A</v>
      </c>
      <c r="R188" t="e">
        <f ca="1">IF(187&lt;=$I$8, INDEX('Precios Diarios'!$F$2:$F$463, $G$8 - 1 + 187 - 1), NA())</f>
        <v>#N/A</v>
      </c>
    </row>
    <row r="189" spans="16:18">
      <c r="P189" s="1" t="e">
        <f ca="1">IF(188&lt;=$I$8, INDEX('Precios Diarios'!$A$2:$A$463, $G$8 - 1 + 188 - 1), NA())</f>
        <v>#N/A</v>
      </c>
      <c r="Q189" t="e">
        <f ca="1">IF(188&lt;=$I$8, INDEX('Precios Diarios'!$E$2:$E$463, $G$8 - 1 + 188 - 1), NA())</f>
        <v>#N/A</v>
      </c>
      <c r="R189" t="e">
        <f ca="1">IF(188&lt;=$I$8, INDEX('Precios Diarios'!$F$2:$F$463, $G$8 - 1 + 188 - 1), NA())</f>
        <v>#N/A</v>
      </c>
    </row>
    <row r="190" spans="16:18">
      <c r="P190" s="1" t="e">
        <f ca="1">IF(189&lt;=$I$8, INDEX('Precios Diarios'!$A$2:$A$463, $G$8 - 1 + 189 - 1), NA())</f>
        <v>#N/A</v>
      </c>
      <c r="Q190" t="e">
        <f ca="1">IF(189&lt;=$I$8, INDEX('Precios Diarios'!$E$2:$E$463, $G$8 - 1 + 189 - 1), NA())</f>
        <v>#N/A</v>
      </c>
      <c r="R190" t="e">
        <f ca="1">IF(189&lt;=$I$8, INDEX('Precios Diarios'!$F$2:$F$463, $G$8 - 1 + 189 - 1), NA())</f>
        <v>#N/A</v>
      </c>
    </row>
    <row r="191" spans="16:18">
      <c r="P191" s="1" t="e">
        <f ca="1">IF(190&lt;=$I$8, INDEX('Precios Diarios'!$A$2:$A$463, $G$8 - 1 + 190 - 1), NA())</f>
        <v>#N/A</v>
      </c>
      <c r="Q191" t="e">
        <f ca="1">IF(190&lt;=$I$8, INDEX('Precios Diarios'!$E$2:$E$463, $G$8 - 1 + 190 - 1), NA())</f>
        <v>#N/A</v>
      </c>
      <c r="R191" t="e">
        <f ca="1">IF(190&lt;=$I$8, INDEX('Precios Diarios'!$F$2:$F$463, $G$8 - 1 + 190 - 1), NA())</f>
        <v>#N/A</v>
      </c>
    </row>
    <row r="192" spans="16:18">
      <c r="P192" s="1" t="e">
        <f ca="1">IF(191&lt;=$I$8, INDEX('Precios Diarios'!$A$2:$A$463, $G$8 - 1 + 191 - 1), NA())</f>
        <v>#N/A</v>
      </c>
      <c r="Q192" t="e">
        <f ca="1">IF(191&lt;=$I$8, INDEX('Precios Diarios'!$E$2:$E$463, $G$8 - 1 + 191 - 1), NA())</f>
        <v>#N/A</v>
      </c>
      <c r="R192" t="e">
        <f ca="1">IF(191&lt;=$I$8, INDEX('Precios Diarios'!$F$2:$F$463, $G$8 - 1 + 191 - 1), NA())</f>
        <v>#N/A</v>
      </c>
    </row>
    <row r="193" spans="16:18">
      <c r="P193" s="1" t="e">
        <f ca="1">IF(192&lt;=$I$8, INDEX('Precios Diarios'!$A$2:$A$463, $G$8 - 1 + 192 - 1), NA())</f>
        <v>#N/A</v>
      </c>
      <c r="Q193" t="e">
        <f ca="1">IF(192&lt;=$I$8, INDEX('Precios Diarios'!$E$2:$E$463, $G$8 - 1 + 192 - 1), NA())</f>
        <v>#N/A</v>
      </c>
      <c r="R193" t="e">
        <f ca="1">IF(192&lt;=$I$8, INDEX('Precios Diarios'!$F$2:$F$463, $G$8 - 1 + 192 - 1), NA())</f>
        <v>#N/A</v>
      </c>
    </row>
    <row r="194" spans="16:18">
      <c r="P194" s="1" t="e">
        <f ca="1">IF(193&lt;=$I$8, INDEX('Precios Diarios'!$A$2:$A$463, $G$8 - 1 + 193 - 1), NA())</f>
        <v>#N/A</v>
      </c>
      <c r="Q194" t="e">
        <f ca="1">IF(193&lt;=$I$8, INDEX('Precios Diarios'!$E$2:$E$463, $G$8 - 1 + 193 - 1), NA())</f>
        <v>#N/A</v>
      </c>
      <c r="R194" t="e">
        <f ca="1">IF(193&lt;=$I$8, INDEX('Precios Diarios'!$F$2:$F$463, $G$8 - 1 + 193 - 1), NA())</f>
        <v>#N/A</v>
      </c>
    </row>
    <row r="195" spans="16:18">
      <c r="P195" s="1" t="e">
        <f ca="1">IF(194&lt;=$I$8, INDEX('Precios Diarios'!$A$2:$A$463, $G$8 - 1 + 194 - 1), NA())</f>
        <v>#N/A</v>
      </c>
      <c r="Q195" t="e">
        <f ca="1">IF(194&lt;=$I$8, INDEX('Precios Diarios'!$E$2:$E$463, $G$8 - 1 + 194 - 1), NA())</f>
        <v>#N/A</v>
      </c>
      <c r="R195" t="e">
        <f ca="1">IF(194&lt;=$I$8, INDEX('Precios Diarios'!$F$2:$F$463, $G$8 - 1 + 194 - 1), NA())</f>
        <v>#N/A</v>
      </c>
    </row>
    <row r="196" spans="16:18">
      <c r="P196" s="1" t="e">
        <f ca="1">IF(195&lt;=$I$8, INDEX('Precios Diarios'!$A$2:$A$463, $G$8 - 1 + 195 - 1), NA())</f>
        <v>#N/A</v>
      </c>
      <c r="Q196" t="e">
        <f ca="1">IF(195&lt;=$I$8, INDEX('Precios Diarios'!$E$2:$E$463, $G$8 - 1 + 195 - 1), NA())</f>
        <v>#N/A</v>
      </c>
      <c r="R196" t="e">
        <f ca="1">IF(195&lt;=$I$8, INDEX('Precios Diarios'!$F$2:$F$463, $G$8 - 1 + 195 - 1), NA())</f>
        <v>#N/A</v>
      </c>
    </row>
    <row r="197" spans="16:18">
      <c r="P197" s="1" t="e">
        <f ca="1">IF(196&lt;=$I$8, INDEX('Precios Diarios'!$A$2:$A$463, $G$8 - 1 + 196 - 1), NA())</f>
        <v>#N/A</v>
      </c>
      <c r="Q197" t="e">
        <f ca="1">IF(196&lt;=$I$8, INDEX('Precios Diarios'!$E$2:$E$463, $G$8 - 1 + 196 - 1), NA())</f>
        <v>#N/A</v>
      </c>
      <c r="R197" t="e">
        <f ca="1">IF(196&lt;=$I$8, INDEX('Precios Diarios'!$F$2:$F$463, $G$8 - 1 + 196 - 1), NA())</f>
        <v>#N/A</v>
      </c>
    </row>
    <row r="198" spans="16:18">
      <c r="P198" s="1" t="e">
        <f ca="1">IF(197&lt;=$I$8, INDEX('Precios Diarios'!$A$2:$A$463, $G$8 - 1 + 197 - 1), NA())</f>
        <v>#N/A</v>
      </c>
      <c r="Q198" t="e">
        <f ca="1">IF(197&lt;=$I$8, INDEX('Precios Diarios'!$E$2:$E$463, $G$8 - 1 + 197 - 1), NA())</f>
        <v>#N/A</v>
      </c>
      <c r="R198" t="e">
        <f ca="1">IF(197&lt;=$I$8, INDEX('Precios Diarios'!$F$2:$F$463, $G$8 - 1 + 197 - 1), NA())</f>
        <v>#N/A</v>
      </c>
    </row>
    <row r="199" spans="16:18">
      <c r="P199" s="1" t="e">
        <f ca="1">IF(198&lt;=$I$8, INDEX('Precios Diarios'!$A$2:$A$463, $G$8 - 1 + 198 - 1), NA())</f>
        <v>#N/A</v>
      </c>
      <c r="Q199" t="e">
        <f ca="1">IF(198&lt;=$I$8, INDEX('Precios Diarios'!$E$2:$E$463, $G$8 - 1 + 198 - 1), NA())</f>
        <v>#N/A</v>
      </c>
      <c r="R199" t="e">
        <f ca="1">IF(198&lt;=$I$8, INDEX('Precios Diarios'!$F$2:$F$463, $G$8 - 1 + 198 - 1), NA())</f>
        <v>#N/A</v>
      </c>
    </row>
    <row r="200" spans="16:18">
      <c r="P200" s="1" t="e">
        <f ca="1">IF(199&lt;=$I$8, INDEX('Precios Diarios'!$A$2:$A$463, $G$8 - 1 + 199 - 1), NA())</f>
        <v>#N/A</v>
      </c>
      <c r="Q200" t="e">
        <f ca="1">IF(199&lt;=$I$8, INDEX('Precios Diarios'!$E$2:$E$463, $G$8 - 1 + 199 - 1), NA())</f>
        <v>#N/A</v>
      </c>
      <c r="R200" t="e">
        <f ca="1">IF(199&lt;=$I$8, INDEX('Precios Diarios'!$F$2:$F$463, $G$8 - 1 + 199 - 1), NA())</f>
        <v>#N/A</v>
      </c>
    </row>
    <row r="201" spans="16:18">
      <c r="P201" s="1" t="e">
        <f ca="1">IF(200&lt;=$I$8, INDEX('Precios Diarios'!$A$2:$A$463, $G$8 - 1 + 200 - 1), NA())</f>
        <v>#N/A</v>
      </c>
      <c r="Q201" t="e">
        <f ca="1">IF(200&lt;=$I$8, INDEX('Precios Diarios'!$E$2:$E$463, $G$8 - 1 + 200 - 1), NA())</f>
        <v>#N/A</v>
      </c>
      <c r="R201" t="e">
        <f ca="1">IF(200&lt;=$I$8, INDEX('Precios Diarios'!$F$2:$F$463, $G$8 - 1 + 200 - 1), NA())</f>
        <v>#N/A</v>
      </c>
    </row>
    <row r="202" spans="16:18">
      <c r="P202" s="1" t="e">
        <f ca="1">IF(201&lt;=$I$8, INDEX('Precios Diarios'!$A$2:$A$463, $G$8 - 1 + 201 - 1), NA())</f>
        <v>#N/A</v>
      </c>
      <c r="Q202" t="e">
        <f ca="1">IF(201&lt;=$I$8, INDEX('Precios Diarios'!$E$2:$E$463, $G$8 - 1 + 201 - 1), NA())</f>
        <v>#N/A</v>
      </c>
      <c r="R202" t="e">
        <f ca="1">IF(201&lt;=$I$8, INDEX('Precios Diarios'!$F$2:$F$463, $G$8 - 1 + 201 - 1), NA())</f>
        <v>#N/A</v>
      </c>
    </row>
    <row r="203" spans="16:18">
      <c r="P203" s="1" t="e">
        <f ca="1">IF(202&lt;=$I$8, INDEX('Precios Diarios'!$A$2:$A$463, $G$8 - 1 + 202 - 1), NA())</f>
        <v>#N/A</v>
      </c>
      <c r="Q203" t="e">
        <f ca="1">IF(202&lt;=$I$8, INDEX('Precios Diarios'!$E$2:$E$463, $G$8 - 1 + 202 - 1), NA())</f>
        <v>#N/A</v>
      </c>
      <c r="R203" t="e">
        <f ca="1">IF(202&lt;=$I$8, INDEX('Precios Diarios'!$F$2:$F$463, $G$8 - 1 + 202 - 1), NA())</f>
        <v>#N/A</v>
      </c>
    </row>
    <row r="204" spans="16:18">
      <c r="P204" s="1" t="e">
        <f ca="1">IF(203&lt;=$I$8, INDEX('Precios Diarios'!$A$2:$A$463, $G$8 - 1 + 203 - 1), NA())</f>
        <v>#N/A</v>
      </c>
      <c r="Q204" t="e">
        <f ca="1">IF(203&lt;=$I$8, INDEX('Precios Diarios'!$E$2:$E$463, $G$8 - 1 + 203 - 1), NA())</f>
        <v>#N/A</v>
      </c>
      <c r="R204" t="e">
        <f ca="1">IF(203&lt;=$I$8, INDEX('Precios Diarios'!$F$2:$F$463, $G$8 - 1 + 203 - 1), NA())</f>
        <v>#N/A</v>
      </c>
    </row>
    <row r="205" spans="16:18">
      <c r="P205" s="1" t="e">
        <f ca="1">IF(204&lt;=$I$8, INDEX('Precios Diarios'!$A$2:$A$463, $G$8 - 1 + 204 - 1), NA())</f>
        <v>#N/A</v>
      </c>
      <c r="Q205" t="e">
        <f ca="1">IF(204&lt;=$I$8, INDEX('Precios Diarios'!$E$2:$E$463, $G$8 - 1 + 204 - 1), NA())</f>
        <v>#N/A</v>
      </c>
      <c r="R205" t="e">
        <f ca="1">IF(204&lt;=$I$8, INDEX('Precios Diarios'!$F$2:$F$463, $G$8 - 1 + 204 - 1), NA())</f>
        <v>#N/A</v>
      </c>
    </row>
    <row r="206" spans="16:18">
      <c r="P206" s="1" t="e">
        <f ca="1">IF(205&lt;=$I$8, INDEX('Precios Diarios'!$A$2:$A$463, $G$8 - 1 + 205 - 1), NA())</f>
        <v>#N/A</v>
      </c>
      <c r="Q206" t="e">
        <f ca="1">IF(205&lt;=$I$8, INDEX('Precios Diarios'!$E$2:$E$463, $G$8 - 1 + 205 - 1), NA())</f>
        <v>#N/A</v>
      </c>
      <c r="R206" t="e">
        <f ca="1">IF(205&lt;=$I$8, INDEX('Precios Diarios'!$F$2:$F$463, $G$8 - 1 + 205 - 1), NA())</f>
        <v>#N/A</v>
      </c>
    </row>
    <row r="207" spans="16:18">
      <c r="P207" s="1" t="e">
        <f ca="1">IF(206&lt;=$I$8, INDEX('Precios Diarios'!$A$2:$A$463, $G$8 - 1 + 206 - 1), NA())</f>
        <v>#N/A</v>
      </c>
      <c r="Q207" t="e">
        <f ca="1">IF(206&lt;=$I$8, INDEX('Precios Diarios'!$E$2:$E$463, $G$8 - 1 + 206 - 1), NA())</f>
        <v>#N/A</v>
      </c>
      <c r="R207" t="e">
        <f ca="1">IF(206&lt;=$I$8, INDEX('Precios Diarios'!$F$2:$F$463, $G$8 - 1 + 206 - 1), NA())</f>
        <v>#N/A</v>
      </c>
    </row>
    <row r="208" spans="16:18">
      <c r="P208" s="1" t="e">
        <f ca="1">IF(207&lt;=$I$8, INDEX('Precios Diarios'!$A$2:$A$463, $G$8 - 1 + 207 - 1), NA())</f>
        <v>#N/A</v>
      </c>
      <c r="Q208" t="e">
        <f ca="1">IF(207&lt;=$I$8, INDEX('Precios Diarios'!$E$2:$E$463, $G$8 - 1 + 207 - 1), NA())</f>
        <v>#N/A</v>
      </c>
      <c r="R208" t="e">
        <f ca="1">IF(207&lt;=$I$8, INDEX('Precios Diarios'!$F$2:$F$463, $G$8 - 1 + 207 - 1), NA())</f>
        <v>#N/A</v>
      </c>
    </row>
    <row r="209" spans="16:18">
      <c r="P209" s="1" t="e">
        <f ca="1">IF(208&lt;=$I$8, INDEX('Precios Diarios'!$A$2:$A$463, $G$8 - 1 + 208 - 1), NA())</f>
        <v>#N/A</v>
      </c>
      <c r="Q209" t="e">
        <f ca="1">IF(208&lt;=$I$8, INDEX('Precios Diarios'!$E$2:$E$463, $G$8 - 1 + 208 - 1), NA())</f>
        <v>#N/A</v>
      </c>
      <c r="R209" t="e">
        <f ca="1">IF(208&lt;=$I$8, INDEX('Precios Diarios'!$F$2:$F$463, $G$8 - 1 + 208 - 1), NA())</f>
        <v>#N/A</v>
      </c>
    </row>
    <row r="210" spans="16:18">
      <c r="P210" s="1" t="e">
        <f ca="1">IF(209&lt;=$I$8, INDEX('Precios Diarios'!$A$2:$A$463, $G$8 - 1 + 209 - 1), NA())</f>
        <v>#N/A</v>
      </c>
      <c r="Q210" t="e">
        <f ca="1">IF(209&lt;=$I$8, INDEX('Precios Diarios'!$E$2:$E$463, $G$8 - 1 + 209 - 1), NA())</f>
        <v>#N/A</v>
      </c>
      <c r="R210" t="e">
        <f ca="1">IF(209&lt;=$I$8, INDEX('Precios Diarios'!$F$2:$F$463, $G$8 - 1 + 209 - 1), NA())</f>
        <v>#N/A</v>
      </c>
    </row>
    <row r="211" spans="16:18">
      <c r="P211" s="1" t="e">
        <f ca="1">IF(210&lt;=$I$8, INDEX('Precios Diarios'!$A$2:$A$463, $G$8 - 1 + 210 - 1), NA())</f>
        <v>#N/A</v>
      </c>
      <c r="Q211" t="e">
        <f ca="1">IF(210&lt;=$I$8, INDEX('Precios Diarios'!$E$2:$E$463, $G$8 - 1 + 210 - 1), NA())</f>
        <v>#N/A</v>
      </c>
      <c r="R211" t="e">
        <f ca="1">IF(210&lt;=$I$8, INDEX('Precios Diarios'!$F$2:$F$463, $G$8 - 1 + 210 - 1), NA())</f>
        <v>#N/A</v>
      </c>
    </row>
    <row r="212" spans="16:18">
      <c r="P212" s="1" t="e">
        <f ca="1">IF(211&lt;=$I$8, INDEX('Precios Diarios'!$A$2:$A$463, $G$8 - 1 + 211 - 1), NA())</f>
        <v>#N/A</v>
      </c>
      <c r="Q212" t="e">
        <f ca="1">IF(211&lt;=$I$8, INDEX('Precios Diarios'!$E$2:$E$463, $G$8 - 1 + 211 - 1), NA())</f>
        <v>#N/A</v>
      </c>
      <c r="R212" t="e">
        <f ca="1">IF(211&lt;=$I$8, INDEX('Precios Diarios'!$F$2:$F$463, $G$8 - 1 + 211 - 1), NA())</f>
        <v>#N/A</v>
      </c>
    </row>
    <row r="213" spans="16:18">
      <c r="P213" s="1" t="e">
        <f ca="1">IF(212&lt;=$I$8, INDEX('Precios Diarios'!$A$2:$A$463, $G$8 - 1 + 212 - 1), NA())</f>
        <v>#N/A</v>
      </c>
      <c r="Q213" t="e">
        <f ca="1">IF(212&lt;=$I$8, INDEX('Precios Diarios'!$E$2:$E$463, $G$8 - 1 + 212 - 1), NA())</f>
        <v>#N/A</v>
      </c>
      <c r="R213" t="e">
        <f ca="1">IF(212&lt;=$I$8, INDEX('Precios Diarios'!$F$2:$F$463, $G$8 - 1 + 212 - 1), NA())</f>
        <v>#N/A</v>
      </c>
    </row>
    <row r="214" spans="16:18">
      <c r="P214" s="1" t="e">
        <f ca="1">IF(213&lt;=$I$8, INDEX('Precios Diarios'!$A$2:$A$463, $G$8 - 1 + 213 - 1), NA())</f>
        <v>#N/A</v>
      </c>
      <c r="Q214" t="e">
        <f ca="1">IF(213&lt;=$I$8, INDEX('Precios Diarios'!$E$2:$E$463, $G$8 - 1 + 213 - 1), NA())</f>
        <v>#N/A</v>
      </c>
      <c r="R214" t="e">
        <f ca="1">IF(213&lt;=$I$8, INDEX('Precios Diarios'!$F$2:$F$463, $G$8 - 1 + 213 - 1), NA())</f>
        <v>#N/A</v>
      </c>
    </row>
    <row r="215" spans="16:18">
      <c r="P215" s="1" t="e">
        <f ca="1">IF(214&lt;=$I$8, INDEX('Precios Diarios'!$A$2:$A$463, $G$8 - 1 + 214 - 1), NA())</f>
        <v>#N/A</v>
      </c>
      <c r="Q215" t="e">
        <f ca="1">IF(214&lt;=$I$8, INDEX('Precios Diarios'!$E$2:$E$463, $G$8 - 1 + 214 - 1), NA())</f>
        <v>#N/A</v>
      </c>
      <c r="R215" t="e">
        <f ca="1">IF(214&lt;=$I$8, INDEX('Precios Diarios'!$F$2:$F$463, $G$8 - 1 + 214 - 1), NA())</f>
        <v>#N/A</v>
      </c>
    </row>
    <row r="216" spans="16:18">
      <c r="P216" s="1" t="e">
        <f ca="1">IF(215&lt;=$I$8, INDEX('Precios Diarios'!$A$2:$A$463, $G$8 - 1 + 215 - 1), NA())</f>
        <v>#N/A</v>
      </c>
      <c r="Q216" t="e">
        <f ca="1">IF(215&lt;=$I$8, INDEX('Precios Diarios'!$E$2:$E$463, $G$8 - 1 + 215 - 1), NA())</f>
        <v>#N/A</v>
      </c>
      <c r="R216" t="e">
        <f ca="1">IF(215&lt;=$I$8, INDEX('Precios Diarios'!$F$2:$F$463, $G$8 - 1 + 215 - 1), NA())</f>
        <v>#N/A</v>
      </c>
    </row>
    <row r="217" spans="16:18">
      <c r="P217" s="1" t="e">
        <f ca="1">IF(216&lt;=$I$8, INDEX('Precios Diarios'!$A$2:$A$463, $G$8 - 1 + 216 - 1), NA())</f>
        <v>#N/A</v>
      </c>
      <c r="Q217" t="e">
        <f ca="1">IF(216&lt;=$I$8, INDEX('Precios Diarios'!$E$2:$E$463, $G$8 - 1 + 216 - 1), NA())</f>
        <v>#N/A</v>
      </c>
      <c r="R217" t="e">
        <f ca="1">IF(216&lt;=$I$8, INDEX('Precios Diarios'!$F$2:$F$463, $G$8 - 1 + 216 - 1), NA())</f>
        <v>#N/A</v>
      </c>
    </row>
    <row r="218" spans="16:18">
      <c r="P218" s="1" t="e">
        <f ca="1">IF(217&lt;=$I$8, INDEX('Precios Diarios'!$A$2:$A$463, $G$8 - 1 + 217 - 1), NA())</f>
        <v>#N/A</v>
      </c>
      <c r="Q218" t="e">
        <f ca="1">IF(217&lt;=$I$8, INDEX('Precios Diarios'!$E$2:$E$463, $G$8 - 1 + 217 - 1), NA())</f>
        <v>#N/A</v>
      </c>
      <c r="R218" t="e">
        <f ca="1">IF(217&lt;=$I$8, INDEX('Precios Diarios'!$F$2:$F$463, $G$8 - 1 + 217 - 1), NA())</f>
        <v>#N/A</v>
      </c>
    </row>
    <row r="219" spans="16:18">
      <c r="P219" s="1" t="e">
        <f ca="1">IF(218&lt;=$I$8, INDEX('Precios Diarios'!$A$2:$A$463, $G$8 - 1 + 218 - 1), NA())</f>
        <v>#N/A</v>
      </c>
      <c r="Q219" t="e">
        <f ca="1">IF(218&lt;=$I$8, INDEX('Precios Diarios'!$E$2:$E$463, $G$8 - 1 + 218 - 1), NA())</f>
        <v>#N/A</v>
      </c>
      <c r="R219" t="e">
        <f ca="1">IF(218&lt;=$I$8, INDEX('Precios Diarios'!$F$2:$F$463, $G$8 - 1 + 218 - 1), NA())</f>
        <v>#N/A</v>
      </c>
    </row>
    <row r="220" spans="16:18">
      <c r="P220" s="1" t="e">
        <f ca="1">IF(219&lt;=$I$8, INDEX('Precios Diarios'!$A$2:$A$463, $G$8 - 1 + 219 - 1), NA())</f>
        <v>#N/A</v>
      </c>
      <c r="Q220" t="e">
        <f ca="1">IF(219&lt;=$I$8, INDEX('Precios Diarios'!$E$2:$E$463, $G$8 - 1 + 219 - 1), NA())</f>
        <v>#N/A</v>
      </c>
      <c r="R220" t="e">
        <f ca="1">IF(219&lt;=$I$8, INDEX('Precios Diarios'!$F$2:$F$463, $G$8 - 1 + 219 - 1), NA())</f>
        <v>#N/A</v>
      </c>
    </row>
    <row r="221" spans="16:18">
      <c r="P221" s="1" t="e">
        <f ca="1">IF(220&lt;=$I$8, INDEX('Precios Diarios'!$A$2:$A$463, $G$8 - 1 + 220 - 1), NA())</f>
        <v>#N/A</v>
      </c>
      <c r="Q221" t="e">
        <f ca="1">IF(220&lt;=$I$8, INDEX('Precios Diarios'!$E$2:$E$463, $G$8 - 1 + 220 - 1), NA())</f>
        <v>#N/A</v>
      </c>
      <c r="R221" t="e">
        <f ca="1">IF(220&lt;=$I$8, INDEX('Precios Diarios'!$F$2:$F$463, $G$8 - 1 + 220 - 1), NA())</f>
        <v>#N/A</v>
      </c>
    </row>
    <row r="222" spans="16:18">
      <c r="P222" s="1" t="e">
        <f ca="1">IF(221&lt;=$I$8, INDEX('Precios Diarios'!$A$2:$A$463, $G$8 - 1 + 221 - 1), NA())</f>
        <v>#N/A</v>
      </c>
      <c r="Q222" t="e">
        <f ca="1">IF(221&lt;=$I$8, INDEX('Precios Diarios'!$E$2:$E$463, $G$8 - 1 + 221 - 1), NA())</f>
        <v>#N/A</v>
      </c>
      <c r="R222" t="e">
        <f ca="1">IF(221&lt;=$I$8, INDEX('Precios Diarios'!$F$2:$F$463, $G$8 - 1 + 221 - 1), NA())</f>
        <v>#N/A</v>
      </c>
    </row>
    <row r="223" spans="16:18">
      <c r="P223" s="1" t="e">
        <f ca="1">IF(222&lt;=$I$8, INDEX('Precios Diarios'!$A$2:$A$463, $G$8 - 1 + 222 - 1), NA())</f>
        <v>#N/A</v>
      </c>
      <c r="Q223" t="e">
        <f ca="1">IF(222&lt;=$I$8, INDEX('Precios Diarios'!$E$2:$E$463, $G$8 - 1 + 222 - 1), NA())</f>
        <v>#N/A</v>
      </c>
      <c r="R223" t="e">
        <f ca="1">IF(222&lt;=$I$8, INDEX('Precios Diarios'!$F$2:$F$463, $G$8 - 1 + 222 - 1), NA())</f>
        <v>#N/A</v>
      </c>
    </row>
    <row r="224" spans="16:18">
      <c r="P224" s="1" t="e">
        <f ca="1">IF(223&lt;=$I$8, INDEX('Precios Diarios'!$A$2:$A$463, $G$8 - 1 + 223 - 1), NA())</f>
        <v>#N/A</v>
      </c>
      <c r="Q224" t="e">
        <f ca="1">IF(223&lt;=$I$8, INDEX('Precios Diarios'!$E$2:$E$463, $G$8 - 1 + 223 - 1), NA())</f>
        <v>#N/A</v>
      </c>
      <c r="R224" t="e">
        <f ca="1">IF(223&lt;=$I$8, INDEX('Precios Diarios'!$F$2:$F$463, $G$8 - 1 + 223 - 1), NA())</f>
        <v>#N/A</v>
      </c>
    </row>
    <row r="225" spans="16:18">
      <c r="P225" s="1" t="e">
        <f ca="1">IF(224&lt;=$I$8, INDEX('Precios Diarios'!$A$2:$A$463, $G$8 - 1 + 224 - 1), NA())</f>
        <v>#N/A</v>
      </c>
      <c r="Q225" t="e">
        <f ca="1">IF(224&lt;=$I$8, INDEX('Precios Diarios'!$E$2:$E$463, $G$8 - 1 + 224 - 1), NA())</f>
        <v>#N/A</v>
      </c>
      <c r="R225" t="e">
        <f ca="1">IF(224&lt;=$I$8, INDEX('Precios Diarios'!$F$2:$F$463, $G$8 - 1 + 224 - 1), NA())</f>
        <v>#N/A</v>
      </c>
    </row>
    <row r="226" spans="16:18">
      <c r="P226" s="1" t="e">
        <f ca="1">IF(225&lt;=$I$8, INDEX('Precios Diarios'!$A$2:$A$463, $G$8 - 1 + 225 - 1), NA())</f>
        <v>#N/A</v>
      </c>
      <c r="Q226" t="e">
        <f ca="1">IF(225&lt;=$I$8, INDEX('Precios Diarios'!$E$2:$E$463, $G$8 - 1 + 225 - 1), NA())</f>
        <v>#N/A</v>
      </c>
      <c r="R226" t="e">
        <f ca="1">IF(225&lt;=$I$8, INDEX('Precios Diarios'!$F$2:$F$463, $G$8 - 1 + 225 - 1), NA())</f>
        <v>#N/A</v>
      </c>
    </row>
    <row r="227" spans="16:18">
      <c r="P227" s="1" t="e">
        <f ca="1">IF(226&lt;=$I$8, INDEX('Precios Diarios'!$A$2:$A$463, $G$8 - 1 + 226 - 1), NA())</f>
        <v>#N/A</v>
      </c>
      <c r="Q227" t="e">
        <f ca="1">IF(226&lt;=$I$8, INDEX('Precios Diarios'!$E$2:$E$463, $G$8 - 1 + 226 - 1), NA())</f>
        <v>#N/A</v>
      </c>
      <c r="R227" t="e">
        <f ca="1">IF(226&lt;=$I$8, INDEX('Precios Diarios'!$F$2:$F$463, $G$8 - 1 + 226 - 1), NA())</f>
        <v>#N/A</v>
      </c>
    </row>
    <row r="228" spans="16:18">
      <c r="P228" s="1" t="e">
        <f ca="1">IF(227&lt;=$I$8, INDEX('Precios Diarios'!$A$2:$A$463, $G$8 - 1 + 227 - 1), NA())</f>
        <v>#N/A</v>
      </c>
      <c r="Q228" t="e">
        <f ca="1">IF(227&lt;=$I$8, INDEX('Precios Diarios'!$E$2:$E$463, $G$8 - 1 + 227 - 1), NA())</f>
        <v>#N/A</v>
      </c>
      <c r="R228" t="e">
        <f ca="1">IF(227&lt;=$I$8, INDEX('Precios Diarios'!$F$2:$F$463, $G$8 - 1 + 227 - 1), NA())</f>
        <v>#N/A</v>
      </c>
    </row>
    <row r="229" spans="16:18">
      <c r="P229" s="1" t="e">
        <f ca="1">IF(228&lt;=$I$8, INDEX('Precios Diarios'!$A$2:$A$463, $G$8 - 1 + 228 - 1), NA())</f>
        <v>#N/A</v>
      </c>
      <c r="Q229" t="e">
        <f ca="1">IF(228&lt;=$I$8, INDEX('Precios Diarios'!$E$2:$E$463, $G$8 - 1 + 228 - 1), NA())</f>
        <v>#N/A</v>
      </c>
      <c r="R229" t="e">
        <f ca="1">IF(228&lt;=$I$8, INDEX('Precios Diarios'!$F$2:$F$463, $G$8 - 1 + 228 - 1), NA())</f>
        <v>#N/A</v>
      </c>
    </row>
    <row r="230" spans="16:18">
      <c r="P230" s="1" t="e">
        <f ca="1">IF(229&lt;=$I$8, INDEX('Precios Diarios'!$A$2:$A$463, $G$8 - 1 + 229 - 1), NA())</f>
        <v>#N/A</v>
      </c>
      <c r="Q230" t="e">
        <f ca="1">IF(229&lt;=$I$8, INDEX('Precios Diarios'!$E$2:$E$463, $G$8 - 1 + 229 - 1), NA())</f>
        <v>#N/A</v>
      </c>
      <c r="R230" t="e">
        <f ca="1">IF(229&lt;=$I$8, INDEX('Precios Diarios'!$F$2:$F$463, $G$8 - 1 + 229 - 1), NA())</f>
        <v>#N/A</v>
      </c>
    </row>
    <row r="231" spans="16:18">
      <c r="P231" s="1" t="e">
        <f ca="1">IF(230&lt;=$I$8, INDEX('Precios Diarios'!$A$2:$A$463, $G$8 - 1 + 230 - 1), NA())</f>
        <v>#N/A</v>
      </c>
      <c r="Q231" t="e">
        <f ca="1">IF(230&lt;=$I$8, INDEX('Precios Diarios'!$E$2:$E$463, $G$8 - 1 + 230 - 1), NA())</f>
        <v>#N/A</v>
      </c>
      <c r="R231" t="e">
        <f ca="1">IF(230&lt;=$I$8, INDEX('Precios Diarios'!$F$2:$F$463, $G$8 - 1 + 230 - 1), NA())</f>
        <v>#N/A</v>
      </c>
    </row>
    <row r="232" spans="16:18">
      <c r="P232" s="1" t="e">
        <f ca="1">IF(231&lt;=$I$8, INDEX('Precios Diarios'!$A$2:$A$463, $G$8 - 1 + 231 - 1), NA())</f>
        <v>#N/A</v>
      </c>
      <c r="Q232" t="e">
        <f ca="1">IF(231&lt;=$I$8, INDEX('Precios Diarios'!$E$2:$E$463, $G$8 - 1 + 231 - 1), NA())</f>
        <v>#N/A</v>
      </c>
      <c r="R232" t="e">
        <f ca="1">IF(231&lt;=$I$8, INDEX('Precios Diarios'!$F$2:$F$463, $G$8 - 1 + 231 - 1), NA())</f>
        <v>#N/A</v>
      </c>
    </row>
    <row r="233" spans="16:18">
      <c r="P233" s="1" t="e">
        <f ca="1">IF(232&lt;=$I$8, INDEX('Precios Diarios'!$A$2:$A$463, $G$8 - 1 + 232 - 1), NA())</f>
        <v>#N/A</v>
      </c>
      <c r="Q233" t="e">
        <f ca="1">IF(232&lt;=$I$8, INDEX('Precios Diarios'!$E$2:$E$463, $G$8 - 1 + 232 - 1), NA())</f>
        <v>#N/A</v>
      </c>
      <c r="R233" t="e">
        <f ca="1">IF(232&lt;=$I$8, INDEX('Precios Diarios'!$F$2:$F$463, $G$8 - 1 + 232 - 1), NA())</f>
        <v>#N/A</v>
      </c>
    </row>
    <row r="234" spans="16:18">
      <c r="P234" s="1" t="e">
        <f ca="1">IF(233&lt;=$I$8, INDEX('Precios Diarios'!$A$2:$A$463, $G$8 - 1 + 233 - 1), NA())</f>
        <v>#N/A</v>
      </c>
      <c r="Q234" t="e">
        <f ca="1">IF(233&lt;=$I$8, INDEX('Precios Diarios'!$E$2:$E$463, $G$8 - 1 + 233 - 1), NA())</f>
        <v>#N/A</v>
      </c>
      <c r="R234" t="e">
        <f ca="1">IF(233&lt;=$I$8, INDEX('Precios Diarios'!$F$2:$F$463, $G$8 - 1 + 233 - 1), NA())</f>
        <v>#N/A</v>
      </c>
    </row>
    <row r="235" spans="16:18">
      <c r="P235" s="1" t="e">
        <f ca="1">IF(234&lt;=$I$8, INDEX('Precios Diarios'!$A$2:$A$463, $G$8 - 1 + 234 - 1), NA())</f>
        <v>#N/A</v>
      </c>
      <c r="Q235" t="e">
        <f ca="1">IF(234&lt;=$I$8, INDEX('Precios Diarios'!$E$2:$E$463, $G$8 - 1 + 234 - 1), NA())</f>
        <v>#N/A</v>
      </c>
      <c r="R235" t="e">
        <f ca="1">IF(234&lt;=$I$8, INDEX('Precios Diarios'!$F$2:$F$463, $G$8 - 1 + 234 - 1), NA())</f>
        <v>#N/A</v>
      </c>
    </row>
    <row r="236" spans="16:18">
      <c r="P236" s="1" t="e">
        <f ca="1">IF(235&lt;=$I$8, INDEX('Precios Diarios'!$A$2:$A$463, $G$8 - 1 + 235 - 1), NA())</f>
        <v>#N/A</v>
      </c>
      <c r="Q236" t="e">
        <f ca="1">IF(235&lt;=$I$8, INDEX('Precios Diarios'!$E$2:$E$463, $G$8 - 1 + 235 - 1), NA())</f>
        <v>#N/A</v>
      </c>
      <c r="R236" t="e">
        <f ca="1">IF(235&lt;=$I$8, INDEX('Precios Diarios'!$F$2:$F$463, $G$8 - 1 + 235 - 1), NA())</f>
        <v>#N/A</v>
      </c>
    </row>
    <row r="237" spans="16:18">
      <c r="P237" s="1" t="e">
        <f ca="1">IF(236&lt;=$I$8, INDEX('Precios Diarios'!$A$2:$A$463, $G$8 - 1 + 236 - 1), NA())</f>
        <v>#N/A</v>
      </c>
      <c r="Q237" t="e">
        <f ca="1">IF(236&lt;=$I$8, INDEX('Precios Diarios'!$E$2:$E$463, $G$8 - 1 + 236 - 1), NA())</f>
        <v>#N/A</v>
      </c>
      <c r="R237" t="e">
        <f ca="1">IF(236&lt;=$I$8, INDEX('Precios Diarios'!$F$2:$F$463, $G$8 - 1 + 236 - 1), NA())</f>
        <v>#N/A</v>
      </c>
    </row>
    <row r="238" spans="16:18">
      <c r="P238" s="1" t="e">
        <f ca="1">IF(237&lt;=$I$8, INDEX('Precios Diarios'!$A$2:$A$463, $G$8 - 1 + 237 - 1), NA())</f>
        <v>#N/A</v>
      </c>
      <c r="Q238" t="e">
        <f ca="1">IF(237&lt;=$I$8, INDEX('Precios Diarios'!$E$2:$E$463, $G$8 - 1 + 237 - 1), NA())</f>
        <v>#N/A</v>
      </c>
      <c r="R238" t="e">
        <f ca="1">IF(237&lt;=$I$8, INDEX('Precios Diarios'!$F$2:$F$463, $G$8 - 1 + 237 - 1), NA())</f>
        <v>#N/A</v>
      </c>
    </row>
    <row r="239" spans="16:18">
      <c r="P239" s="1" t="e">
        <f ca="1">IF(238&lt;=$I$8, INDEX('Precios Diarios'!$A$2:$A$463, $G$8 - 1 + 238 - 1), NA())</f>
        <v>#N/A</v>
      </c>
      <c r="Q239" t="e">
        <f ca="1">IF(238&lt;=$I$8, INDEX('Precios Diarios'!$E$2:$E$463, $G$8 - 1 + 238 - 1), NA())</f>
        <v>#N/A</v>
      </c>
      <c r="R239" t="e">
        <f ca="1">IF(238&lt;=$I$8, INDEX('Precios Diarios'!$F$2:$F$463, $G$8 - 1 + 238 - 1), NA())</f>
        <v>#N/A</v>
      </c>
    </row>
    <row r="240" spans="16:18">
      <c r="P240" s="1" t="e">
        <f ca="1">IF(239&lt;=$I$8, INDEX('Precios Diarios'!$A$2:$A$463, $G$8 - 1 + 239 - 1), NA())</f>
        <v>#N/A</v>
      </c>
      <c r="Q240" t="e">
        <f ca="1">IF(239&lt;=$I$8, INDEX('Precios Diarios'!$E$2:$E$463, $G$8 - 1 + 239 - 1), NA())</f>
        <v>#N/A</v>
      </c>
      <c r="R240" t="e">
        <f ca="1">IF(239&lt;=$I$8, INDEX('Precios Diarios'!$F$2:$F$463, $G$8 - 1 + 239 - 1), NA())</f>
        <v>#N/A</v>
      </c>
    </row>
    <row r="241" spans="16:18">
      <c r="P241" s="1" t="e">
        <f ca="1">IF(240&lt;=$I$8, INDEX('Precios Diarios'!$A$2:$A$463, $G$8 - 1 + 240 - 1), NA())</f>
        <v>#N/A</v>
      </c>
      <c r="Q241" t="e">
        <f ca="1">IF(240&lt;=$I$8, INDEX('Precios Diarios'!$E$2:$E$463, $G$8 - 1 + 240 - 1), NA())</f>
        <v>#N/A</v>
      </c>
      <c r="R241" t="e">
        <f ca="1">IF(240&lt;=$I$8, INDEX('Precios Diarios'!$F$2:$F$463, $G$8 - 1 + 240 - 1), NA())</f>
        <v>#N/A</v>
      </c>
    </row>
    <row r="242" spans="16:18">
      <c r="P242" s="1" t="e">
        <f ca="1">IF(241&lt;=$I$8, INDEX('Precios Diarios'!$A$2:$A$463, $G$8 - 1 + 241 - 1), NA())</f>
        <v>#N/A</v>
      </c>
      <c r="Q242" t="e">
        <f ca="1">IF(241&lt;=$I$8, INDEX('Precios Diarios'!$E$2:$E$463, $G$8 - 1 + 241 - 1), NA())</f>
        <v>#N/A</v>
      </c>
      <c r="R242" t="e">
        <f ca="1">IF(241&lt;=$I$8, INDEX('Precios Diarios'!$F$2:$F$463, $G$8 - 1 + 241 - 1), NA())</f>
        <v>#N/A</v>
      </c>
    </row>
    <row r="243" spans="16:18">
      <c r="P243" s="1" t="e">
        <f ca="1">IF(242&lt;=$I$8, INDEX('Precios Diarios'!$A$2:$A$463, $G$8 - 1 + 242 - 1), NA())</f>
        <v>#N/A</v>
      </c>
      <c r="Q243" t="e">
        <f ca="1">IF(242&lt;=$I$8, INDEX('Precios Diarios'!$E$2:$E$463, $G$8 - 1 + 242 - 1), NA())</f>
        <v>#N/A</v>
      </c>
      <c r="R243" t="e">
        <f ca="1">IF(242&lt;=$I$8, INDEX('Precios Diarios'!$F$2:$F$463, $G$8 - 1 + 242 - 1), NA())</f>
        <v>#N/A</v>
      </c>
    </row>
    <row r="244" spans="16:18">
      <c r="P244" s="1" t="e">
        <f ca="1">IF(243&lt;=$I$8, INDEX('Precios Diarios'!$A$2:$A$463, $G$8 - 1 + 243 - 1), NA())</f>
        <v>#N/A</v>
      </c>
      <c r="Q244" t="e">
        <f ca="1">IF(243&lt;=$I$8, INDEX('Precios Diarios'!$E$2:$E$463, $G$8 - 1 + 243 - 1), NA())</f>
        <v>#N/A</v>
      </c>
      <c r="R244" t="e">
        <f ca="1">IF(243&lt;=$I$8, INDEX('Precios Diarios'!$F$2:$F$463, $G$8 - 1 + 243 - 1), NA())</f>
        <v>#N/A</v>
      </c>
    </row>
    <row r="245" spans="16:18">
      <c r="P245" s="1" t="e">
        <f ca="1">IF(244&lt;=$I$8, INDEX('Precios Diarios'!$A$2:$A$463, $G$8 - 1 + 244 - 1), NA())</f>
        <v>#N/A</v>
      </c>
      <c r="Q245" t="e">
        <f ca="1">IF(244&lt;=$I$8, INDEX('Precios Diarios'!$E$2:$E$463, $G$8 - 1 + 244 - 1), NA())</f>
        <v>#N/A</v>
      </c>
      <c r="R245" t="e">
        <f ca="1">IF(244&lt;=$I$8, INDEX('Precios Diarios'!$F$2:$F$463, $G$8 - 1 + 244 - 1), NA())</f>
        <v>#N/A</v>
      </c>
    </row>
    <row r="246" spans="16:18">
      <c r="P246" s="1" t="e">
        <f ca="1">IF(245&lt;=$I$8, INDEX('Precios Diarios'!$A$2:$A$463, $G$8 - 1 + 245 - 1), NA())</f>
        <v>#N/A</v>
      </c>
      <c r="Q246" t="e">
        <f ca="1">IF(245&lt;=$I$8, INDEX('Precios Diarios'!$E$2:$E$463, $G$8 - 1 + 245 - 1), NA())</f>
        <v>#N/A</v>
      </c>
      <c r="R246" t="e">
        <f ca="1">IF(245&lt;=$I$8, INDEX('Precios Diarios'!$F$2:$F$463, $G$8 - 1 + 245 - 1), NA())</f>
        <v>#N/A</v>
      </c>
    </row>
    <row r="247" spans="16:18">
      <c r="P247" s="1" t="e">
        <f ca="1">IF(246&lt;=$I$8, INDEX('Precios Diarios'!$A$2:$A$463, $G$8 - 1 + 246 - 1), NA())</f>
        <v>#N/A</v>
      </c>
      <c r="Q247" t="e">
        <f ca="1">IF(246&lt;=$I$8, INDEX('Precios Diarios'!$E$2:$E$463, $G$8 - 1 + 246 - 1), NA())</f>
        <v>#N/A</v>
      </c>
      <c r="R247" t="e">
        <f ca="1">IF(246&lt;=$I$8, INDEX('Precios Diarios'!$F$2:$F$463, $G$8 - 1 + 246 - 1), NA())</f>
        <v>#N/A</v>
      </c>
    </row>
    <row r="248" spans="16:18">
      <c r="P248" s="1" t="e">
        <f ca="1">IF(247&lt;=$I$8, INDEX('Precios Diarios'!$A$2:$A$463, $G$8 - 1 + 247 - 1), NA())</f>
        <v>#N/A</v>
      </c>
      <c r="Q248" t="e">
        <f ca="1">IF(247&lt;=$I$8, INDEX('Precios Diarios'!$E$2:$E$463, $G$8 - 1 + 247 - 1), NA())</f>
        <v>#N/A</v>
      </c>
      <c r="R248" t="e">
        <f ca="1">IF(247&lt;=$I$8, INDEX('Precios Diarios'!$F$2:$F$463, $G$8 - 1 + 247 - 1), NA())</f>
        <v>#N/A</v>
      </c>
    </row>
    <row r="249" spans="16:18">
      <c r="P249" s="1" t="e">
        <f ca="1">IF(248&lt;=$I$8, INDEX('Precios Diarios'!$A$2:$A$463, $G$8 - 1 + 248 - 1), NA())</f>
        <v>#N/A</v>
      </c>
      <c r="Q249" t="e">
        <f ca="1">IF(248&lt;=$I$8, INDEX('Precios Diarios'!$E$2:$E$463, $G$8 - 1 + 248 - 1), NA())</f>
        <v>#N/A</v>
      </c>
      <c r="R249" t="e">
        <f ca="1">IF(248&lt;=$I$8, INDEX('Precios Diarios'!$F$2:$F$463, $G$8 - 1 + 248 - 1), NA())</f>
        <v>#N/A</v>
      </c>
    </row>
    <row r="250" spans="16:18">
      <c r="P250" s="1" t="e">
        <f ca="1">IF(249&lt;=$I$8, INDEX('Precios Diarios'!$A$2:$A$463, $G$8 - 1 + 249 - 1), NA())</f>
        <v>#N/A</v>
      </c>
      <c r="Q250" t="e">
        <f ca="1">IF(249&lt;=$I$8, INDEX('Precios Diarios'!$E$2:$E$463, $G$8 - 1 + 249 - 1), NA())</f>
        <v>#N/A</v>
      </c>
      <c r="R250" t="e">
        <f ca="1">IF(249&lt;=$I$8, INDEX('Precios Diarios'!$F$2:$F$463, $G$8 - 1 + 249 - 1), NA())</f>
        <v>#N/A</v>
      </c>
    </row>
    <row r="251" spans="16:18">
      <c r="P251" s="1" t="e">
        <f ca="1">IF(250&lt;=$I$8, INDEX('Precios Diarios'!$A$2:$A$463, $G$8 - 1 + 250 - 1), NA())</f>
        <v>#N/A</v>
      </c>
      <c r="Q251" t="e">
        <f ca="1">IF(250&lt;=$I$8, INDEX('Precios Diarios'!$E$2:$E$463, $G$8 - 1 + 250 - 1), NA())</f>
        <v>#N/A</v>
      </c>
      <c r="R251" t="e">
        <f ca="1">IF(250&lt;=$I$8, INDEX('Precios Diarios'!$F$2:$F$463, $G$8 - 1 + 250 - 1), NA())</f>
        <v>#N/A</v>
      </c>
    </row>
    <row r="252" spans="16:18">
      <c r="P252" s="1" t="e">
        <f ca="1">IF(251&lt;=$I$8, INDEX('Precios Diarios'!$A$2:$A$463, $G$8 - 1 + 251 - 1), NA())</f>
        <v>#N/A</v>
      </c>
      <c r="Q252" t="e">
        <f ca="1">IF(251&lt;=$I$8, INDEX('Precios Diarios'!$E$2:$E$463, $G$8 - 1 + 251 - 1), NA())</f>
        <v>#N/A</v>
      </c>
      <c r="R252" t="e">
        <f ca="1">IF(251&lt;=$I$8, INDEX('Precios Diarios'!$F$2:$F$463, $G$8 - 1 + 251 - 1), NA())</f>
        <v>#N/A</v>
      </c>
    </row>
    <row r="253" spans="16:18">
      <c r="P253" s="1" t="e">
        <f ca="1">IF(252&lt;=$I$8, INDEX('Precios Diarios'!$A$2:$A$463, $G$8 - 1 + 252 - 1), NA())</f>
        <v>#N/A</v>
      </c>
      <c r="Q253" t="e">
        <f ca="1">IF(252&lt;=$I$8, INDEX('Precios Diarios'!$E$2:$E$463, $G$8 - 1 + 252 - 1), NA())</f>
        <v>#N/A</v>
      </c>
      <c r="R253" t="e">
        <f ca="1">IF(252&lt;=$I$8, INDEX('Precios Diarios'!$F$2:$F$463, $G$8 - 1 + 252 - 1), NA())</f>
        <v>#N/A</v>
      </c>
    </row>
    <row r="254" spans="16:18">
      <c r="P254" s="1" t="e">
        <f ca="1">IF(253&lt;=$I$8, INDEX('Precios Diarios'!$A$2:$A$463, $G$8 - 1 + 253 - 1), NA())</f>
        <v>#N/A</v>
      </c>
      <c r="Q254" t="e">
        <f ca="1">IF(253&lt;=$I$8, INDEX('Precios Diarios'!$E$2:$E$463, $G$8 - 1 + 253 - 1), NA())</f>
        <v>#N/A</v>
      </c>
      <c r="R254" t="e">
        <f ca="1">IF(253&lt;=$I$8, INDEX('Precios Diarios'!$F$2:$F$463, $G$8 - 1 + 253 - 1), NA())</f>
        <v>#N/A</v>
      </c>
    </row>
    <row r="255" spans="16:18">
      <c r="P255" s="1" t="e">
        <f ca="1">IF(254&lt;=$I$8, INDEX('Precios Diarios'!$A$2:$A$463, $G$8 - 1 + 254 - 1), NA())</f>
        <v>#N/A</v>
      </c>
      <c r="Q255" t="e">
        <f ca="1">IF(254&lt;=$I$8, INDEX('Precios Diarios'!$E$2:$E$463, $G$8 - 1 + 254 - 1), NA())</f>
        <v>#N/A</v>
      </c>
      <c r="R255" t="e">
        <f ca="1">IF(254&lt;=$I$8, INDEX('Precios Diarios'!$F$2:$F$463, $G$8 - 1 + 254 - 1), NA())</f>
        <v>#N/A</v>
      </c>
    </row>
    <row r="256" spans="16:18">
      <c r="P256" s="1" t="e">
        <f ca="1">IF(255&lt;=$I$8, INDEX('Precios Diarios'!$A$2:$A$463, $G$8 - 1 + 255 - 1), NA())</f>
        <v>#N/A</v>
      </c>
      <c r="Q256" t="e">
        <f ca="1">IF(255&lt;=$I$8, INDEX('Precios Diarios'!$E$2:$E$463, $G$8 - 1 + 255 - 1), NA())</f>
        <v>#N/A</v>
      </c>
      <c r="R256" t="e">
        <f ca="1">IF(255&lt;=$I$8, INDEX('Precios Diarios'!$F$2:$F$463, $G$8 - 1 + 255 - 1), NA())</f>
        <v>#N/A</v>
      </c>
    </row>
    <row r="257" spans="16:18">
      <c r="P257" s="1" t="e">
        <f ca="1">IF(256&lt;=$I$8, INDEX('Precios Diarios'!$A$2:$A$463, $G$8 - 1 + 256 - 1), NA())</f>
        <v>#N/A</v>
      </c>
      <c r="Q257" t="e">
        <f ca="1">IF(256&lt;=$I$8, INDEX('Precios Diarios'!$E$2:$E$463, $G$8 - 1 + 256 - 1), NA())</f>
        <v>#N/A</v>
      </c>
      <c r="R257" t="e">
        <f ca="1">IF(256&lt;=$I$8, INDEX('Precios Diarios'!$F$2:$F$463, $G$8 - 1 + 256 - 1), NA())</f>
        <v>#N/A</v>
      </c>
    </row>
    <row r="258" spans="16:18">
      <c r="P258" s="1" t="e">
        <f ca="1">IF(257&lt;=$I$8, INDEX('Precios Diarios'!$A$2:$A$463, $G$8 - 1 + 257 - 1), NA())</f>
        <v>#N/A</v>
      </c>
      <c r="Q258" t="e">
        <f ca="1">IF(257&lt;=$I$8, INDEX('Precios Diarios'!$E$2:$E$463, $G$8 - 1 + 257 - 1), NA())</f>
        <v>#N/A</v>
      </c>
      <c r="R258" t="e">
        <f ca="1">IF(257&lt;=$I$8, INDEX('Precios Diarios'!$F$2:$F$463, $G$8 - 1 + 257 - 1), NA())</f>
        <v>#N/A</v>
      </c>
    </row>
    <row r="259" spans="16:18">
      <c r="P259" s="1" t="e">
        <f ca="1">IF(258&lt;=$I$8, INDEX('Precios Diarios'!$A$2:$A$463, $G$8 - 1 + 258 - 1), NA())</f>
        <v>#N/A</v>
      </c>
      <c r="Q259" t="e">
        <f ca="1">IF(258&lt;=$I$8, INDEX('Precios Diarios'!$E$2:$E$463, $G$8 - 1 + 258 - 1), NA())</f>
        <v>#N/A</v>
      </c>
      <c r="R259" t="e">
        <f ca="1">IF(258&lt;=$I$8, INDEX('Precios Diarios'!$F$2:$F$463, $G$8 - 1 + 258 - 1), NA())</f>
        <v>#N/A</v>
      </c>
    </row>
    <row r="260" spans="16:18">
      <c r="P260" s="1" t="e">
        <f ca="1">IF(259&lt;=$I$8, INDEX('Precios Diarios'!$A$2:$A$463, $G$8 - 1 + 259 - 1), NA())</f>
        <v>#N/A</v>
      </c>
      <c r="Q260" t="e">
        <f ca="1">IF(259&lt;=$I$8, INDEX('Precios Diarios'!$E$2:$E$463, $G$8 - 1 + 259 - 1), NA())</f>
        <v>#N/A</v>
      </c>
      <c r="R260" t="e">
        <f ca="1">IF(259&lt;=$I$8, INDEX('Precios Diarios'!$F$2:$F$463, $G$8 - 1 + 259 - 1), NA())</f>
        <v>#N/A</v>
      </c>
    </row>
    <row r="261" spans="16:18">
      <c r="P261" s="1" t="e">
        <f ca="1">IF(260&lt;=$I$8, INDEX('Precios Diarios'!$A$2:$A$463, $G$8 - 1 + 260 - 1), NA())</f>
        <v>#N/A</v>
      </c>
      <c r="Q261" t="e">
        <f ca="1">IF(260&lt;=$I$8, INDEX('Precios Diarios'!$E$2:$E$463, $G$8 - 1 + 260 - 1), NA())</f>
        <v>#N/A</v>
      </c>
      <c r="R261" t="e">
        <f ca="1">IF(260&lt;=$I$8, INDEX('Precios Diarios'!$F$2:$F$463, $G$8 - 1 + 260 - 1), NA())</f>
        <v>#N/A</v>
      </c>
    </row>
    <row r="262" spans="16:18">
      <c r="P262" s="1" t="e">
        <f ca="1">IF(261&lt;=$I$8, INDEX('Precios Diarios'!$A$2:$A$463, $G$8 - 1 + 261 - 1), NA())</f>
        <v>#N/A</v>
      </c>
      <c r="Q262" t="e">
        <f ca="1">IF(261&lt;=$I$8, INDEX('Precios Diarios'!$E$2:$E$463, $G$8 - 1 + 261 - 1), NA())</f>
        <v>#N/A</v>
      </c>
      <c r="R262" t="e">
        <f ca="1">IF(261&lt;=$I$8, INDEX('Precios Diarios'!$F$2:$F$463, $G$8 - 1 + 261 - 1), NA())</f>
        <v>#N/A</v>
      </c>
    </row>
    <row r="263" spans="16:18">
      <c r="P263" s="1" t="e">
        <f ca="1">IF(262&lt;=$I$8, INDEX('Precios Diarios'!$A$2:$A$463, $G$8 - 1 + 262 - 1), NA())</f>
        <v>#N/A</v>
      </c>
      <c r="Q263" t="e">
        <f ca="1">IF(262&lt;=$I$8, INDEX('Precios Diarios'!$E$2:$E$463, $G$8 - 1 + 262 - 1), NA())</f>
        <v>#N/A</v>
      </c>
      <c r="R263" t="e">
        <f ca="1">IF(262&lt;=$I$8, INDEX('Precios Diarios'!$F$2:$F$463, $G$8 - 1 + 262 - 1), NA())</f>
        <v>#N/A</v>
      </c>
    </row>
    <row r="264" spans="16:18">
      <c r="P264" s="1" t="e">
        <f ca="1">IF(263&lt;=$I$8, INDEX('Precios Diarios'!$A$2:$A$463, $G$8 - 1 + 263 - 1), NA())</f>
        <v>#N/A</v>
      </c>
      <c r="Q264" t="e">
        <f ca="1">IF(263&lt;=$I$8, INDEX('Precios Diarios'!$E$2:$E$463, $G$8 - 1 + 263 - 1), NA())</f>
        <v>#N/A</v>
      </c>
      <c r="R264" t="e">
        <f ca="1">IF(263&lt;=$I$8, INDEX('Precios Diarios'!$F$2:$F$463, $G$8 - 1 + 263 - 1), NA())</f>
        <v>#N/A</v>
      </c>
    </row>
    <row r="265" spans="16:18">
      <c r="P265" s="1" t="e">
        <f ca="1">IF(264&lt;=$I$8, INDEX('Precios Diarios'!$A$2:$A$463, $G$8 - 1 + 264 - 1), NA())</f>
        <v>#N/A</v>
      </c>
      <c r="Q265" t="e">
        <f ca="1">IF(264&lt;=$I$8, INDEX('Precios Diarios'!$E$2:$E$463, $G$8 - 1 + 264 - 1), NA())</f>
        <v>#N/A</v>
      </c>
      <c r="R265" t="e">
        <f ca="1">IF(264&lt;=$I$8, INDEX('Precios Diarios'!$F$2:$F$463, $G$8 - 1 + 264 - 1), NA())</f>
        <v>#N/A</v>
      </c>
    </row>
    <row r="266" spans="16:18">
      <c r="P266" s="1" t="e">
        <f ca="1">IF(265&lt;=$I$8, INDEX('Precios Diarios'!$A$2:$A$463, $G$8 - 1 + 265 - 1), NA())</f>
        <v>#N/A</v>
      </c>
      <c r="Q266" t="e">
        <f ca="1">IF(265&lt;=$I$8, INDEX('Precios Diarios'!$E$2:$E$463, $G$8 - 1 + 265 - 1), NA())</f>
        <v>#N/A</v>
      </c>
      <c r="R266" t="e">
        <f ca="1">IF(265&lt;=$I$8, INDEX('Precios Diarios'!$F$2:$F$463, $G$8 - 1 + 265 - 1), NA())</f>
        <v>#N/A</v>
      </c>
    </row>
    <row r="267" spans="16:18">
      <c r="P267" s="1" t="e">
        <f ca="1">IF(266&lt;=$I$8, INDEX('Precios Diarios'!$A$2:$A$463, $G$8 - 1 + 266 - 1), NA())</f>
        <v>#N/A</v>
      </c>
      <c r="Q267" t="e">
        <f ca="1">IF(266&lt;=$I$8, INDEX('Precios Diarios'!$E$2:$E$463, $G$8 - 1 + 266 - 1), NA())</f>
        <v>#N/A</v>
      </c>
      <c r="R267" t="e">
        <f ca="1">IF(266&lt;=$I$8, INDEX('Precios Diarios'!$F$2:$F$463, $G$8 - 1 + 266 - 1), NA())</f>
        <v>#N/A</v>
      </c>
    </row>
    <row r="268" spans="16:18">
      <c r="P268" s="1" t="e">
        <f ca="1">IF(267&lt;=$I$8, INDEX('Precios Diarios'!$A$2:$A$463, $G$8 - 1 + 267 - 1), NA())</f>
        <v>#N/A</v>
      </c>
      <c r="Q268" t="e">
        <f ca="1">IF(267&lt;=$I$8, INDEX('Precios Diarios'!$E$2:$E$463, $G$8 - 1 + 267 - 1), NA())</f>
        <v>#N/A</v>
      </c>
      <c r="R268" t="e">
        <f ca="1">IF(267&lt;=$I$8, INDEX('Precios Diarios'!$F$2:$F$463, $G$8 - 1 + 267 - 1), NA())</f>
        <v>#N/A</v>
      </c>
    </row>
    <row r="269" spans="16:18">
      <c r="P269" s="1" t="e">
        <f ca="1">IF(268&lt;=$I$8, INDEX('Precios Diarios'!$A$2:$A$463, $G$8 - 1 + 268 - 1), NA())</f>
        <v>#N/A</v>
      </c>
      <c r="Q269" t="e">
        <f ca="1">IF(268&lt;=$I$8, INDEX('Precios Diarios'!$E$2:$E$463, $G$8 - 1 + 268 - 1), NA())</f>
        <v>#N/A</v>
      </c>
      <c r="R269" t="e">
        <f ca="1">IF(268&lt;=$I$8, INDEX('Precios Diarios'!$F$2:$F$463, $G$8 - 1 + 268 - 1), NA())</f>
        <v>#N/A</v>
      </c>
    </row>
    <row r="270" spans="16:18">
      <c r="P270" s="1" t="e">
        <f ca="1">IF(269&lt;=$I$8, INDEX('Precios Diarios'!$A$2:$A$463, $G$8 - 1 + 269 - 1), NA())</f>
        <v>#N/A</v>
      </c>
      <c r="Q270" t="e">
        <f ca="1">IF(269&lt;=$I$8, INDEX('Precios Diarios'!$E$2:$E$463, $G$8 - 1 + 269 - 1), NA())</f>
        <v>#N/A</v>
      </c>
      <c r="R270" t="e">
        <f ca="1">IF(269&lt;=$I$8, INDEX('Precios Diarios'!$F$2:$F$463, $G$8 - 1 + 269 - 1), NA())</f>
        <v>#N/A</v>
      </c>
    </row>
    <row r="271" spans="16:18">
      <c r="P271" s="1" t="e">
        <f ca="1">IF(270&lt;=$I$8, INDEX('Precios Diarios'!$A$2:$A$463, $G$8 - 1 + 270 - 1), NA())</f>
        <v>#N/A</v>
      </c>
      <c r="Q271" t="e">
        <f ca="1">IF(270&lt;=$I$8, INDEX('Precios Diarios'!$E$2:$E$463, $G$8 - 1 + 270 - 1), NA())</f>
        <v>#N/A</v>
      </c>
      <c r="R271" t="e">
        <f ca="1">IF(270&lt;=$I$8, INDEX('Precios Diarios'!$F$2:$F$463, $G$8 - 1 + 270 - 1), NA())</f>
        <v>#N/A</v>
      </c>
    </row>
    <row r="272" spans="16:18">
      <c r="P272" s="1" t="e">
        <f ca="1">IF(271&lt;=$I$8, INDEX('Precios Diarios'!$A$2:$A$463, $G$8 - 1 + 271 - 1), NA())</f>
        <v>#N/A</v>
      </c>
      <c r="Q272" t="e">
        <f ca="1">IF(271&lt;=$I$8, INDEX('Precios Diarios'!$E$2:$E$463, $G$8 - 1 + 271 - 1), NA())</f>
        <v>#N/A</v>
      </c>
      <c r="R272" t="e">
        <f ca="1">IF(271&lt;=$I$8, INDEX('Precios Diarios'!$F$2:$F$463, $G$8 - 1 + 271 - 1), NA())</f>
        <v>#N/A</v>
      </c>
    </row>
    <row r="273" spans="16:18">
      <c r="P273" s="1" t="e">
        <f ca="1">IF(272&lt;=$I$8, INDEX('Precios Diarios'!$A$2:$A$463, $G$8 - 1 + 272 - 1), NA())</f>
        <v>#N/A</v>
      </c>
      <c r="Q273" t="e">
        <f ca="1">IF(272&lt;=$I$8, INDEX('Precios Diarios'!$E$2:$E$463, $G$8 - 1 + 272 - 1), NA())</f>
        <v>#N/A</v>
      </c>
      <c r="R273" t="e">
        <f ca="1">IF(272&lt;=$I$8, INDEX('Precios Diarios'!$F$2:$F$463, $G$8 - 1 + 272 - 1), NA())</f>
        <v>#N/A</v>
      </c>
    </row>
    <row r="274" spans="16:18">
      <c r="P274" s="1" t="e">
        <f ca="1">IF(273&lt;=$I$8, INDEX('Precios Diarios'!$A$2:$A$463, $G$8 - 1 + 273 - 1), NA())</f>
        <v>#N/A</v>
      </c>
      <c r="Q274" t="e">
        <f ca="1">IF(273&lt;=$I$8, INDEX('Precios Diarios'!$E$2:$E$463, $G$8 - 1 + 273 - 1), NA())</f>
        <v>#N/A</v>
      </c>
      <c r="R274" t="e">
        <f ca="1">IF(273&lt;=$I$8, INDEX('Precios Diarios'!$F$2:$F$463, $G$8 - 1 + 273 - 1), NA())</f>
        <v>#N/A</v>
      </c>
    </row>
    <row r="275" spans="16:18">
      <c r="P275" s="1" t="e">
        <f ca="1">IF(274&lt;=$I$8, INDEX('Precios Diarios'!$A$2:$A$463, $G$8 - 1 + 274 - 1), NA())</f>
        <v>#N/A</v>
      </c>
      <c r="Q275" t="e">
        <f ca="1">IF(274&lt;=$I$8, INDEX('Precios Diarios'!$E$2:$E$463, $G$8 - 1 + 274 - 1), NA())</f>
        <v>#N/A</v>
      </c>
      <c r="R275" t="e">
        <f ca="1">IF(274&lt;=$I$8, INDEX('Precios Diarios'!$F$2:$F$463, $G$8 - 1 + 274 - 1), NA())</f>
        <v>#N/A</v>
      </c>
    </row>
    <row r="276" spans="16:18">
      <c r="P276" s="1" t="e">
        <f ca="1">IF(275&lt;=$I$8, INDEX('Precios Diarios'!$A$2:$A$463, $G$8 - 1 + 275 - 1), NA())</f>
        <v>#N/A</v>
      </c>
      <c r="Q276" t="e">
        <f ca="1">IF(275&lt;=$I$8, INDEX('Precios Diarios'!$E$2:$E$463, $G$8 - 1 + 275 - 1), NA())</f>
        <v>#N/A</v>
      </c>
      <c r="R276" t="e">
        <f ca="1">IF(275&lt;=$I$8, INDEX('Precios Diarios'!$F$2:$F$463, $G$8 - 1 + 275 - 1), NA())</f>
        <v>#N/A</v>
      </c>
    </row>
    <row r="277" spans="16:18">
      <c r="P277" s="1" t="e">
        <f ca="1">IF(276&lt;=$I$8, INDEX('Precios Diarios'!$A$2:$A$463, $G$8 - 1 + 276 - 1), NA())</f>
        <v>#N/A</v>
      </c>
      <c r="Q277" t="e">
        <f ca="1">IF(276&lt;=$I$8, INDEX('Precios Diarios'!$E$2:$E$463, $G$8 - 1 + 276 - 1), NA())</f>
        <v>#N/A</v>
      </c>
      <c r="R277" t="e">
        <f ca="1">IF(276&lt;=$I$8, INDEX('Precios Diarios'!$F$2:$F$463, $G$8 - 1 + 276 - 1), NA())</f>
        <v>#N/A</v>
      </c>
    </row>
    <row r="278" spans="16:18">
      <c r="P278" s="1" t="e">
        <f ca="1">IF(277&lt;=$I$8, INDEX('Precios Diarios'!$A$2:$A$463, $G$8 - 1 + 277 - 1), NA())</f>
        <v>#N/A</v>
      </c>
      <c r="Q278" t="e">
        <f ca="1">IF(277&lt;=$I$8, INDEX('Precios Diarios'!$E$2:$E$463, $G$8 - 1 + 277 - 1), NA())</f>
        <v>#N/A</v>
      </c>
      <c r="R278" t="e">
        <f ca="1">IF(277&lt;=$I$8, INDEX('Precios Diarios'!$F$2:$F$463, $G$8 - 1 + 277 - 1), NA())</f>
        <v>#N/A</v>
      </c>
    </row>
    <row r="279" spans="16:18">
      <c r="P279" s="1" t="e">
        <f ca="1">IF(278&lt;=$I$8, INDEX('Precios Diarios'!$A$2:$A$463, $G$8 - 1 + 278 - 1), NA())</f>
        <v>#N/A</v>
      </c>
      <c r="Q279" t="e">
        <f ca="1">IF(278&lt;=$I$8, INDEX('Precios Diarios'!$E$2:$E$463, $G$8 - 1 + 278 - 1), NA())</f>
        <v>#N/A</v>
      </c>
      <c r="R279" t="e">
        <f ca="1">IF(278&lt;=$I$8, INDEX('Precios Diarios'!$F$2:$F$463, $G$8 - 1 + 278 - 1), NA())</f>
        <v>#N/A</v>
      </c>
    </row>
    <row r="280" spans="16:18">
      <c r="P280" s="1" t="e">
        <f ca="1">IF(279&lt;=$I$8, INDEX('Precios Diarios'!$A$2:$A$463, $G$8 - 1 + 279 - 1), NA())</f>
        <v>#N/A</v>
      </c>
      <c r="Q280" t="e">
        <f ca="1">IF(279&lt;=$I$8, INDEX('Precios Diarios'!$E$2:$E$463, $G$8 - 1 + 279 - 1), NA())</f>
        <v>#N/A</v>
      </c>
      <c r="R280" t="e">
        <f ca="1">IF(279&lt;=$I$8, INDEX('Precios Diarios'!$F$2:$F$463, $G$8 - 1 + 279 - 1), NA())</f>
        <v>#N/A</v>
      </c>
    </row>
    <row r="281" spans="16:18">
      <c r="P281" s="1" t="e">
        <f ca="1">IF(280&lt;=$I$8, INDEX('Precios Diarios'!$A$2:$A$463, $G$8 - 1 + 280 - 1), NA())</f>
        <v>#N/A</v>
      </c>
      <c r="Q281" t="e">
        <f ca="1">IF(280&lt;=$I$8, INDEX('Precios Diarios'!$E$2:$E$463, $G$8 - 1 + 280 - 1), NA())</f>
        <v>#N/A</v>
      </c>
      <c r="R281" t="e">
        <f ca="1">IF(280&lt;=$I$8, INDEX('Precios Diarios'!$F$2:$F$463, $G$8 - 1 + 280 - 1), NA())</f>
        <v>#N/A</v>
      </c>
    </row>
    <row r="282" spans="16:18">
      <c r="P282" s="1" t="e">
        <f ca="1">IF(281&lt;=$I$8, INDEX('Precios Diarios'!$A$2:$A$463, $G$8 - 1 + 281 - 1), NA())</f>
        <v>#N/A</v>
      </c>
      <c r="Q282" t="e">
        <f ca="1">IF(281&lt;=$I$8, INDEX('Precios Diarios'!$E$2:$E$463, $G$8 - 1 + 281 - 1), NA())</f>
        <v>#N/A</v>
      </c>
      <c r="R282" t="e">
        <f ca="1">IF(281&lt;=$I$8, INDEX('Precios Diarios'!$F$2:$F$463, $G$8 - 1 + 281 - 1), NA())</f>
        <v>#N/A</v>
      </c>
    </row>
    <row r="283" spans="16:18">
      <c r="P283" s="1" t="e">
        <f ca="1">IF(282&lt;=$I$8, INDEX('Precios Diarios'!$A$2:$A$463, $G$8 - 1 + 282 - 1), NA())</f>
        <v>#N/A</v>
      </c>
      <c r="Q283" t="e">
        <f ca="1">IF(282&lt;=$I$8, INDEX('Precios Diarios'!$E$2:$E$463, $G$8 - 1 + 282 - 1), NA())</f>
        <v>#N/A</v>
      </c>
      <c r="R283" t="e">
        <f ca="1">IF(282&lt;=$I$8, INDEX('Precios Diarios'!$F$2:$F$463, $G$8 - 1 + 282 - 1), NA())</f>
        <v>#N/A</v>
      </c>
    </row>
    <row r="284" spans="16:18">
      <c r="P284" s="1" t="e">
        <f ca="1">IF(283&lt;=$I$8, INDEX('Precios Diarios'!$A$2:$A$463, $G$8 - 1 + 283 - 1), NA())</f>
        <v>#N/A</v>
      </c>
      <c r="Q284" t="e">
        <f ca="1">IF(283&lt;=$I$8, INDEX('Precios Diarios'!$E$2:$E$463, $G$8 - 1 + 283 - 1), NA())</f>
        <v>#N/A</v>
      </c>
      <c r="R284" t="e">
        <f ca="1">IF(283&lt;=$I$8, INDEX('Precios Diarios'!$F$2:$F$463, $G$8 - 1 + 283 - 1), NA())</f>
        <v>#N/A</v>
      </c>
    </row>
    <row r="285" spans="16:18">
      <c r="P285" s="1" t="e">
        <f ca="1">IF(284&lt;=$I$8, INDEX('Precios Diarios'!$A$2:$A$463, $G$8 - 1 + 284 - 1), NA())</f>
        <v>#N/A</v>
      </c>
      <c r="Q285" t="e">
        <f ca="1">IF(284&lt;=$I$8, INDEX('Precios Diarios'!$E$2:$E$463, $G$8 - 1 + 284 - 1), NA())</f>
        <v>#N/A</v>
      </c>
      <c r="R285" t="e">
        <f ca="1">IF(284&lt;=$I$8, INDEX('Precios Diarios'!$F$2:$F$463, $G$8 - 1 + 284 - 1), NA())</f>
        <v>#N/A</v>
      </c>
    </row>
    <row r="286" spans="16:18">
      <c r="P286" s="1" t="e">
        <f ca="1">IF(285&lt;=$I$8, INDEX('Precios Diarios'!$A$2:$A$463, $G$8 - 1 + 285 - 1), NA())</f>
        <v>#N/A</v>
      </c>
      <c r="Q286" t="e">
        <f ca="1">IF(285&lt;=$I$8, INDEX('Precios Diarios'!$E$2:$E$463, $G$8 - 1 + 285 - 1), NA())</f>
        <v>#N/A</v>
      </c>
      <c r="R286" t="e">
        <f ca="1">IF(285&lt;=$I$8, INDEX('Precios Diarios'!$F$2:$F$463, $G$8 - 1 + 285 - 1), NA())</f>
        <v>#N/A</v>
      </c>
    </row>
    <row r="287" spans="16:18">
      <c r="P287" s="1" t="e">
        <f ca="1">IF(286&lt;=$I$8, INDEX('Precios Diarios'!$A$2:$A$463, $G$8 - 1 + 286 - 1), NA())</f>
        <v>#N/A</v>
      </c>
      <c r="Q287" t="e">
        <f ca="1">IF(286&lt;=$I$8, INDEX('Precios Diarios'!$E$2:$E$463, $G$8 - 1 + 286 - 1), NA())</f>
        <v>#N/A</v>
      </c>
      <c r="R287" t="e">
        <f ca="1">IF(286&lt;=$I$8, INDEX('Precios Diarios'!$F$2:$F$463, $G$8 - 1 + 286 - 1), NA())</f>
        <v>#N/A</v>
      </c>
    </row>
    <row r="288" spans="16:18">
      <c r="P288" s="1" t="e">
        <f ca="1">IF(287&lt;=$I$8, INDEX('Precios Diarios'!$A$2:$A$463, $G$8 - 1 + 287 - 1), NA())</f>
        <v>#N/A</v>
      </c>
      <c r="Q288" t="e">
        <f ca="1">IF(287&lt;=$I$8, INDEX('Precios Diarios'!$E$2:$E$463, $G$8 - 1 + 287 - 1), NA())</f>
        <v>#N/A</v>
      </c>
      <c r="R288" t="e">
        <f ca="1">IF(287&lt;=$I$8, INDEX('Precios Diarios'!$F$2:$F$463, $G$8 - 1 + 287 - 1), NA())</f>
        <v>#N/A</v>
      </c>
    </row>
    <row r="289" spans="16:18">
      <c r="P289" s="1" t="e">
        <f ca="1">IF(288&lt;=$I$8, INDEX('Precios Diarios'!$A$2:$A$463, $G$8 - 1 + 288 - 1), NA())</f>
        <v>#N/A</v>
      </c>
      <c r="Q289" t="e">
        <f ca="1">IF(288&lt;=$I$8, INDEX('Precios Diarios'!$E$2:$E$463, $G$8 - 1 + 288 - 1), NA())</f>
        <v>#N/A</v>
      </c>
      <c r="R289" t="e">
        <f ca="1">IF(288&lt;=$I$8, INDEX('Precios Diarios'!$F$2:$F$463, $G$8 - 1 + 288 - 1), NA())</f>
        <v>#N/A</v>
      </c>
    </row>
    <row r="290" spans="16:18">
      <c r="P290" s="1" t="e">
        <f ca="1">IF(289&lt;=$I$8, INDEX('Precios Diarios'!$A$2:$A$463, $G$8 - 1 + 289 - 1), NA())</f>
        <v>#N/A</v>
      </c>
      <c r="Q290" t="e">
        <f ca="1">IF(289&lt;=$I$8, INDEX('Precios Diarios'!$E$2:$E$463, $G$8 - 1 + 289 - 1), NA())</f>
        <v>#N/A</v>
      </c>
      <c r="R290" t="e">
        <f ca="1">IF(289&lt;=$I$8, INDEX('Precios Diarios'!$F$2:$F$463, $G$8 - 1 + 289 - 1), NA())</f>
        <v>#N/A</v>
      </c>
    </row>
    <row r="291" spans="16:18">
      <c r="P291" s="1" t="e">
        <f ca="1">IF(290&lt;=$I$8, INDEX('Precios Diarios'!$A$2:$A$463, $G$8 - 1 + 290 - 1), NA())</f>
        <v>#N/A</v>
      </c>
      <c r="Q291" t="e">
        <f ca="1">IF(290&lt;=$I$8, INDEX('Precios Diarios'!$E$2:$E$463, $G$8 - 1 + 290 - 1), NA())</f>
        <v>#N/A</v>
      </c>
      <c r="R291" t="e">
        <f ca="1">IF(290&lt;=$I$8, INDEX('Precios Diarios'!$F$2:$F$463, $G$8 - 1 + 290 - 1), NA())</f>
        <v>#N/A</v>
      </c>
    </row>
    <row r="292" spans="16:18">
      <c r="P292" s="1" t="e">
        <f ca="1">IF(291&lt;=$I$8, INDEX('Precios Diarios'!$A$2:$A$463, $G$8 - 1 + 291 - 1), NA())</f>
        <v>#N/A</v>
      </c>
      <c r="Q292" t="e">
        <f ca="1">IF(291&lt;=$I$8, INDEX('Precios Diarios'!$E$2:$E$463, $G$8 - 1 + 291 - 1), NA())</f>
        <v>#N/A</v>
      </c>
      <c r="R292" t="e">
        <f ca="1">IF(291&lt;=$I$8, INDEX('Precios Diarios'!$F$2:$F$463, $G$8 - 1 + 291 - 1), NA())</f>
        <v>#N/A</v>
      </c>
    </row>
    <row r="293" spans="16:18">
      <c r="P293" s="1" t="e">
        <f ca="1">IF(292&lt;=$I$8, INDEX('Precios Diarios'!$A$2:$A$463, $G$8 - 1 + 292 - 1), NA())</f>
        <v>#N/A</v>
      </c>
      <c r="Q293" t="e">
        <f ca="1">IF(292&lt;=$I$8, INDEX('Precios Diarios'!$E$2:$E$463, $G$8 - 1 + 292 - 1), NA())</f>
        <v>#N/A</v>
      </c>
      <c r="R293" t="e">
        <f ca="1">IF(292&lt;=$I$8, INDEX('Precios Diarios'!$F$2:$F$463, $G$8 - 1 + 292 - 1), NA())</f>
        <v>#N/A</v>
      </c>
    </row>
    <row r="294" spans="16:18">
      <c r="P294" s="1" t="e">
        <f ca="1">IF(293&lt;=$I$8, INDEX('Precios Diarios'!$A$2:$A$463, $G$8 - 1 + 293 - 1), NA())</f>
        <v>#N/A</v>
      </c>
      <c r="Q294" t="e">
        <f ca="1">IF(293&lt;=$I$8, INDEX('Precios Diarios'!$E$2:$E$463, $G$8 - 1 + 293 - 1), NA())</f>
        <v>#N/A</v>
      </c>
      <c r="R294" t="e">
        <f ca="1">IF(293&lt;=$I$8, INDEX('Precios Diarios'!$F$2:$F$463, $G$8 - 1 + 293 - 1), NA())</f>
        <v>#N/A</v>
      </c>
    </row>
    <row r="295" spans="16:18">
      <c r="P295" s="1" t="e">
        <f ca="1">IF(294&lt;=$I$8, INDEX('Precios Diarios'!$A$2:$A$463, $G$8 - 1 + 294 - 1), NA())</f>
        <v>#N/A</v>
      </c>
      <c r="Q295" t="e">
        <f ca="1">IF(294&lt;=$I$8, INDEX('Precios Diarios'!$E$2:$E$463, $G$8 - 1 + 294 - 1), NA())</f>
        <v>#N/A</v>
      </c>
      <c r="R295" t="e">
        <f ca="1">IF(294&lt;=$I$8, INDEX('Precios Diarios'!$F$2:$F$463, $G$8 - 1 + 294 - 1), NA())</f>
        <v>#N/A</v>
      </c>
    </row>
    <row r="296" spans="16:18">
      <c r="P296" s="1" t="e">
        <f ca="1">IF(295&lt;=$I$8, INDEX('Precios Diarios'!$A$2:$A$463, $G$8 - 1 + 295 - 1), NA())</f>
        <v>#N/A</v>
      </c>
      <c r="Q296" t="e">
        <f ca="1">IF(295&lt;=$I$8, INDEX('Precios Diarios'!$E$2:$E$463, $G$8 - 1 + 295 - 1), NA())</f>
        <v>#N/A</v>
      </c>
      <c r="R296" t="e">
        <f ca="1">IF(295&lt;=$I$8, INDEX('Precios Diarios'!$F$2:$F$463, $G$8 - 1 + 295 - 1), NA())</f>
        <v>#N/A</v>
      </c>
    </row>
    <row r="297" spans="16:18">
      <c r="P297" s="1" t="e">
        <f ca="1">IF(296&lt;=$I$8, INDEX('Precios Diarios'!$A$2:$A$463, $G$8 - 1 + 296 - 1), NA())</f>
        <v>#N/A</v>
      </c>
      <c r="Q297" t="e">
        <f ca="1">IF(296&lt;=$I$8, INDEX('Precios Diarios'!$E$2:$E$463, $G$8 - 1 + 296 - 1), NA())</f>
        <v>#N/A</v>
      </c>
      <c r="R297" t="e">
        <f ca="1">IF(296&lt;=$I$8, INDEX('Precios Diarios'!$F$2:$F$463, $G$8 - 1 + 296 - 1), NA())</f>
        <v>#N/A</v>
      </c>
    </row>
    <row r="298" spans="16:18">
      <c r="P298" s="1" t="e">
        <f ca="1">IF(297&lt;=$I$8, INDEX('Precios Diarios'!$A$2:$A$463, $G$8 - 1 + 297 - 1), NA())</f>
        <v>#N/A</v>
      </c>
      <c r="Q298" t="e">
        <f ca="1">IF(297&lt;=$I$8, INDEX('Precios Diarios'!$E$2:$E$463, $G$8 - 1 + 297 - 1), NA())</f>
        <v>#N/A</v>
      </c>
      <c r="R298" t="e">
        <f ca="1">IF(297&lt;=$I$8, INDEX('Precios Diarios'!$F$2:$F$463, $G$8 - 1 + 297 - 1), NA())</f>
        <v>#N/A</v>
      </c>
    </row>
    <row r="299" spans="16:18">
      <c r="P299" s="1" t="e">
        <f ca="1">IF(298&lt;=$I$8, INDEX('Precios Diarios'!$A$2:$A$463, $G$8 - 1 + 298 - 1), NA())</f>
        <v>#N/A</v>
      </c>
      <c r="Q299" t="e">
        <f ca="1">IF(298&lt;=$I$8, INDEX('Precios Diarios'!$E$2:$E$463, $G$8 - 1 + 298 - 1), NA())</f>
        <v>#N/A</v>
      </c>
      <c r="R299" t="e">
        <f ca="1">IF(298&lt;=$I$8, INDEX('Precios Diarios'!$F$2:$F$463, $G$8 - 1 + 298 - 1), NA())</f>
        <v>#N/A</v>
      </c>
    </row>
    <row r="300" spans="16:18">
      <c r="P300" s="1" t="e">
        <f ca="1">IF(299&lt;=$I$8, INDEX('Precios Diarios'!$A$2:$A$463, $G$8 - 1 + 299 - 1), NA())</f>
        <v>#N/A</v>
      </c>
      <c r="Q300" t="e">
        <f ca="1">IF(299&lt;=$I$8, INDEX('Precios Diarios'!$E$2:$E$463, $G$8 - 1 + 299 - 1), NA())</f>
        <v>#N/A</v>
      </c>
      <c r="R300" t="e">
        <f ca="1">IF(299&lt;=$I$8, INDEX('Precios Diarios'!$F$2:$F$463, $G$8 - 1 + 299 - 1), NA())</f>
        <v>#N/A</v>
      </c>
    </row>
    <row r="301" spans="16:18">
      <c r="P301" s="1" t="e">
        <f ca="1">IF(300&lt;=$I$8, INDEX('Precios Diarios'!$A$2:$A$463, $G$8 - 1 + 300 - 1), NA())</f>
        <v>#N/A</v>
      </c>
      <c r="Q301" t="e">
        <f ca="1">IF(300&lt;=$I$8, INDEX('Precios Diarios'!$E$2:$E$463, $G$8 - 1 + 300 - 1), NA())</f>
        <v>#N/A</v>
      </c>
      <c r="R301" t="e">
        <f ca="1">IF(300&lt;=$I$8, INDEX('Precios Diarios'!$F$2:$F$463, $G$8 - 1 + 300 - 1), NA())</f>
        <v>#N/A</v>
      </c>
    </row>
    <row r="302" spans="16:18">
      <c r="P302" s="1" t="e">
        <f ca="1">IF(301&lt;=$I$8, INDEX('Precios Diarios'!$A$2:$A$463, $G$8 - 1 + 301 - 1), NA())</f>
        <v>#N/A</v>
      </c>
      <c r="Q302" t="e">
        <f ca="1">IF(301&lt;=$I$8, INDEX('Precios Diarios'!$E$2:$E$463, $G$8 - 1 + 301 - 1), NA())</f>
        <v>#N/A</v>
      </c>
      <c r="R302" t="e">
        <f ca="1">IF(301&lt;=$I$8, INDEX('Precios Diarios'!$F$2:$F$463, $G$8 - 1 + 301 - 1), NA())</f>
        <v>#N/A</v>
      </c>
    </row>
    <row r="303" spans="16:18">
      <c r="P303" s="1" t="e">
        <f ca="1">IF(302&lt;=$I$8, INDEX('Precios Diarios'!$A$2:$A$463, $G$8 - 1 + 302 - 1), NA())</f>
        <v>#N/A</v>
      </c>
      <c r="Q303" t="e">
        <f ca="1">IF(302&lt;=$I$8, INDEX('Precios Diarios'!$E$2:$E$463, $G$8 - 1 + 302 - 1), NA())</f>
        <v>#N/A</v>
      </c>
      <c r="R303" t="e">
        <f ca="1">IF(302&lt;=$I$8, INDEX('Precios Diarios'!$F$2:$F$463, $G$8 - 1 + 302 - 1), NA())</f>
        <v>#N/A</v>
      </c>
    </row>
    <row r="304" spans="16:18">
      <c r="P304" s="1" t="e">
        <f ca="1">IF(303&lt;=$I$8, INDEX('Precios Diarios'!$A$2:$A$463, $G$8 - 1 + 303 - 1), NA())</f>
        <v>#N/A</v>
      </c>
      <c r="Q304" t="e">
        <f ca="1">IF(303&lt;=$I$8, INDEX('Precios Diarios'!$E$2:$E$463, $G$8 - 1 + 303 - 1), NA())</f>
        <v>#N/A</v>
      </c>
      <c r="R304" t="e">
        <f ca="1">IF(303&lt;=$I$8, INDEX('Precios Diarios'!$F$2:$F$463, $G$8 - 1 + 303 - 1), NA())</f>
        <v>#N/A</v>
      </c>
    </row>
    <row r="305" spans="16:18">
      <c r="P305" s="1" t="e">
        <f ca="1">IF(304&lt;=$I$8, INDEX('Precios Diarios'!$A$2:$A$463, $G$8 - 1 + 304 - 1), NA())</f>
        <v>#N/A</v>
      </c>
      <c r="Q305" t="e">
        <f ca="1">IF(304&lt;=$I$8, INDEX('Precios Diarios'!$E$2:$E$463, $G$8 - 1 + 304 - 1), NA())</f>
        <v>#N/A</v>
      </c>
      <c r="R305" t="e">
        <f ca="1">IF(304&lt;=$I$8, INDEX('Precios Diarios'!$F$2:$F$463, $G$8 - 1 + 304 - 1), NA())</f>
        <v>#N/A</v>
      </c>
    </row>
    <row r="306" spans="16:18">
      <c r="P306" s="1" t="e">
        <f ca="1">IF(305&lt;=$I$8, INDEX('Precios Diarios'!$A$2:$A$463, $G$8 - 1 + 305 - 1), NA())</f>
        <v>#N/A</v>
      </c>
      <c r="Q306" t="e">
        <f ca="1">IF(305&lt;=$I$8, INDEX('Precios Diarios'!$E$2:$E$463, $G$8 - 1 + 305 - 1), NA())</f>
        <v>#N/A</v>
      </c>
      <c r="R306" t="e">
        <f ca="1">IF(305&lt;=$I$8, INDEX('Precios Diarios'!$F$2:$F$463, $G$8 - 1 + 305 - 1), NA())</f>
        <v>#N/A</v>
      </c>
    </row>
    <row r="307" spans="16:18">
      <c r="P307" s="1" t="e">
        <f ca="1">IF(306&lt;=$I$8, INDEX('Precios Diarios'!$A$2:$A$463, $G$8 - 1 + 306 - 1), NA())</f>
        <v>#N/A</v>
      </c>
      <c r="Q307" t="e">
        <f ca="1">IF(306&lt;=$I$8, INDEX('Precios Diarios'!$E$2:$E$463, $G$8 - 1 + 306 - 1), NA())</f>
        <v>#N/A</v>
      </c>
      <c r="R307" t="e">
        <f ca="1">IF(306&lt;=$I$8, INDEX('Precios Diarios'!$F$2:$F$463, $G$8 - 1 + 306 - 1), NA())</f>
        <v>#N/A</v>
      </c>
    </row>
    <row r="308" spans="16:18">
      <c r="P308" s="1" t="e">
        <f ca="1">IF(307&lt;=$I$8, INDEX('Precios Diarios'!$A$2:$A$463, $G$8 - 1 + 307 - 1), NA())</f>
        <v>#N/A</v>
      </c>
      <c r="Q308" t="e">
        <f ca="1">IF(307&lt;=$I$8, INDEX('Precios Diarios'!$E$2:$E$463, $G$8 - 1 + 307 - 1), NA())</f>
        <v>#N/A</v>
      </c>
      <c r="R308" t="e">
        <f ca="1">IF(307&lt;=$I$8, INDEX('Precios Diarios'!$F$2:$F$463, $G$8 - 1 + 307 - 1), NA())</f>
        <v>#N/A</v>
      </c>
    </row>
    <row r="309" spans="16:18">
      <c r="P309" s="1" t="e">
        <f ca="1">IF(308&lt;=$I$8, INDEX('Precios Diarios'!$A$2:$A$463, $G$8 - 1 + 308 - 1), NA())</f>
        <v>#N/A</v>
      </c>
      <c r="Q309" t="e">
        <f ca="1">IF(308&lt;=$I$8, INDEX('Precios Diarios'!$E$2:$E$463, $G$8 - 1 + 308 - 1), NA())</f>
        <v>#N/A</v>
      </c>
      <c r="R309" t="e">
        <f ca="1">IF(308&lt;=$I$8, INDEX('Precios Diarios'!$F$2:$F$463, $G$8 - 1 + 308 - 1), NA())</f>
        <v>#N/A</v>
      </c>
    </row>
    <row r="310" spans="16:18">
      <c r="P310" s="1" t="e">
        <f ca="1">IF(309&lt;=$I$8, INDEX('Precios Diarios'!$A$2:$A$463, $G$8 - 1 + 309 - 1), NA())</f>
        <v>#N/A</v>
      </c>
      <c r="Q310" t="e">
        <f ca="1">IF(309&lt;=$I$8, INDEX('Precios Diarios'!$E$2:$E$463, $G$8 - 1 + 309 - 1), NA())</f>
        <v>#N/A</v>
      </c>
      <c r="R310" t="e">
        <f ca="1">IF(309&lt;=$I$8, INDEX('Precios Diarios'!$F$2:$F$463, $G$8 - 1 + 309 - 1), NA())</f>
        <v>#N/A</v>
      </c>
    </row>
    <row r="311" spans="16:18">
      <c r="P311" s="1" t="e">
        <f ca="1">IF(310&lt;=$I$8, INDEX('Precios Diarios'!$A$2:$A$463, $G$8 - 1 + 310 - 1), NA())</f>
        <v>#N/A</v>
      </c>
      <c r="Q311" t="e">
        <f ca="1">IF(310&lt;=$I$8, INDEX('Precios Diarios'!$E$2:$E$463, $G$8 - 1 + 310 - 1), NA())</f>
        <v>#N/A</v>
      </c>
      <c r="R311" t="e">
        <f ca="1">IF(310&lt;=$I$8, INDEX('Precios Diarios'!$F$2:$F$463, $G$8 - 1 + 310 - 1), NA())</f>
        <v>#N/A</v>
      </c>
    </row>
    <row r="312" spans="16:18">
      <c r="P312" s="1" t="e">
        <f ca="1">IF(311&lt;=$I$8, INDEX('Precios Diarios'!$A$2:$A$463, $G$8 - 1 + 311 - 1), NA())</f>
        <v>#N/A</v>
      </c>
      <c r="Q312" t="e">
        <f ca="1">IF(311&lt;=$I$8, INDEX('Precios Diarios'!$E$2:$E$463, $G$8 - 1 + 311 - 1), NA())</f>
        <v>#N/A</v>
      </c>
      <c r="R312" t="e">
        <f ca="1">IF(311&lt;=$I$8, INDEX('Precios Diarios'!$F$2:$F$463, $G$8 - 1 + 311 - 1), NA())</f>
        <v>#N/A</v>
      </c>
    </row>
    <row r="313" spans="16:18">
      <c r="P313" s="1" t="e">
        <f ca="1">IF(312&lt;=$I$8, INDEX('Precios Diarios'!$A$2:$A$463, $G$8 - 1 + 312 - 1), NA())</f>
        <v>#N/A</v>
      </c>
      <c r="Q313" t="e">
        <f ca="1">IF(312&lt;=$I$8, INDEX('Precios Diarios'!$E$2:$E$463, $G$8 - 1 + 312 - 1), NA())</f>
        <v>#N/A</v>
      </c>
      <c r="R313" t="e">
        <f ca="1">IF(312&lt;=$I$8, INDEX('Precios Diarios'!$F$2:$F$463, $G$8 - 1 + 312 - 1), NA())</f>
        <v>#N/A</v>
      </c>
    </row>
    <row r="314" spans="16:18">
      <c r="P314" s="1" t="e">
        <f ca="1">IF(313&lt;=$I$8, INDEX('Precios Diarios'!$A$2:$A$463, $G$8 - 1 + 313 - 1), NA())</f>
        <v>#N/A</v>
      </c>
      <c r="Q314" t="e">
        <f ca="1">IF(313&lt;=$I$8, INDEX('Precios Diarios'!$E$2:$E$463, $G$8 - 1 + 313 - 1), NA())</f>
        <v>#N/A</v>
      </c>
      <c r="R314" t="e">
        <f ca="1">IF(313&lt;=$I$8, INDEX('Precios Diarios'!$F$2:$F$463, $G$8 - 1 + 313 - 1), NA())</f>
        <v>#N/A</v>
      </c>
    </row>
    <row r="315" spans="16:18">
      <c r="P315" s="1" t="e">
        <f ca="1">IF(314&lt;=$I$8, INDEX('Precios Diarios'!$A$2:$A$463, $G$8 - 1 + 314 - 1), NA())</f>
        <v>#N/A</v>
      </c>
      <c r="Q315" t="e">
        <f ca="1">IF(314&lt;=$I$8, INDEX('Precios Diarios'!$E$2:$E$463, $G$8 - 1 + 314 - 1), NA())</f>
        <v>#N/A</v>
      </c>
      <c r="R315" t="e">
        <f ca="1">IF(314&lt;=$I$8, INDEX('Precios Diarios'!$F$2:$F$463, $G$8 - 1 + 314 - 1), NA())</f>
        <v>#N/A</v>
      </c>
    </row>
    <row r="316" spans="16:18">
      <c r="P316" s="1" t="e">
        <f ca="1">IF(315&lt;=$I$8, INDEX('Precios Diarios'!$A$2:$A$463, $G$8 - 1 + 315 - 1), NA())</f>
        <v>#N/A</v>
      </c>
      <c r="Q316" t="e">
        <f ca="1">IF(315&lt;=$I$8, INDEX('Precios Diarios'!$E$2:$E$463, $G$8 - 1 + 315 - 1), NA())</f>
        <v>#N/A</v>
      </c>
      <c r="R316" t="e">
        <f ca="1">IF(315&lt;=$I$8, INDEX('Precios Diarios'!$F$2:$F$463, $G$8 - 1 + 315 - 1), NA())</f>
        <v>#N/A</v>
      </c>
    </row>
    <row r="317" spans="16:18">
      <c r="P317" s="1" t="e">
        <f ca="1">IF(316&lt;=$I$8, INDEX('Precios Diarios'!$A$2:$A$463, $G$8 - 1 + 316 - 1), NA())</f>
        <v>#N/A</v>
      </c>
      <c r="Q317" t="e">
        <f ca="1">IF(316&lt;=$I$8, INDEX('Precios Diarios'!$E$2:$E$463, $G$8 - 1 + 316 - 1), NA())</f>
        <v>#N/A</v>
      </c>
      <c r="R317" t="e">
        <f ca="1">IF(316&lt;=$I$8, INDEX('Precios Diarios'!$F$2:$F$463, $G$8 - 1 + 316 - 1), NA())</f>
        <v>#N/A</v>
      </c>
    </row>
    <row r="318" spans="16:18">
      <c r="P318" s="1" t="e">
        <f ca="1">IF(317&lt;=$I$8, INDEX('Precios Diarios'!$A$2:$A$463, $G$8 - 1 + 317 - 1), NA())</f>
        <v>#N/A</v>
      </c>
      <c r="Q318" t="e">
        <f ca="1">IF(317&lt;=$I$8, INDEX('Precios Diarios'!$E$2:$E$463, $G$8 - 1 + 317 - 1), NA())</f>
        <v>#N/A</v>
      </c>
      <c r="R318" t="e">
        <f ca="1">IF(317&lt;=$I$8, INDEX('Precios Diarios'!$F$2:$F$463, $G$8 - 1 + 317 - 1), NA())</f>
        <v>#N/A</v>
      </c>
    </row>
    <row r="319" spans="16:18">
      <c r="P319" s="1" t="e">
        <f ca="1">IF(318&lt;=$I$8, INDEX('Precios Diarios'!$A$2:$A$463, $G$8 - 1 + 318 - 1), NA())</f>
        <v>#N/A</v>
      </c>
      <c r="Q319" t="e">
        <f ca="1">IF(318&lt;=$I$8, INDEX('Precios Diarios'!$E$2:$E$463, $G$8 - 1 + 318 - 1), NA())</f>
        <v>#N/A</v>
      </c>
      <c r="R319" t="e">
        <f ca="1">IF(318&lt;=$I$8, INDEX('Precios Diarios'!$F$2:$F$463, $G$8 - 1 + 318 - 1), NA())</f>
        <v>#N/A</v>
      </c>
    </row>
    <row r="320" spans="16:18">
      <c r="P320" s="1" t="e">
        <f ca="1">IF(319&lt;=$I$8, INDEX('Precios Diarios'!$A$2:$A$463, $G$8 - 1 + 319 - 1), NA())</f>
        <v>#N/A</v>
      </c>
      <c r="Q320" t="e">
        <f ca="1">IF(319&lt;=$I$8, INDEX('Precios Diarios'!$E$2:$E$463, $G$8 - 1 + 319 - 1), NA())</f>
        <v>#N/A</v>
      </c>
      <c r="R320" t="e">
        <f ca="1">IF(319&lt;=$I$8, INDEX('Precios Diarios'!$F$2:$F$463, $G$8 - 1 + 319 - 1), NA())</f>
        <v>#N/A</v>
      </c>
    </row>
    <row r="321" spans="16:18">
      <c r="P321" s="1" t="e">
        <f ca="1">IF(320&lt;=$I$8, INDEX('Precios Diarios'!$A$2:$A$463, $G$8 - 1 + 320 - 1), NA())</f>
        <v>#N/A</v>
      </c>
      <c r="Q321" t="e">
        <f ca="1">IF(320&lt;=$I$8, INDEX('Precios Diarios'!$E$2:$E$463, $G$8 - 1 + 320 - 1), NA())</f>
        <v>#N/A</v>
      </c>
      <c r="R321" t="e">
        <f ca="1">IF(320&lt;=$I$8, INDEX('Precios Diarios'!$F$2:$F$463, $G$8 - 1 + 320 - 1), NA())</f>
        <v>#N/A</v>
      </c>
    </row>
    <row r="322" spans="16:18">
      <c r="P322" s="1" t="e">
        <f ca="1">IF(321&lt;=$I$8, INDEX('Precios Diarios'!$A$2:$A$463, $G$8 - 1 + 321 - 1), NA())</f>
        <v>#N/A</v>
      </c>
      <c r="Q322" t="e">
        <f ca="1">IF(321&lt;=$I$8, INDEX('Precios Diarios'!$E$2:$E$463, $G$8 - 1 + 321 - 1), NA())</f>
        <v>#N/A</v>
      </c>
      <c r="R322" t="e">
        <f ca="1">IF(321&lt;=$I$8, INDEX('Precios Diarios'!$F$2:$F$463, $G$8 - 1 + 321 - 1), NA())</f>
        <v>#N/A</v>
      </c>
    </row>
    <row r="323" spans="16:18">
      <c r="P323" s="1" t="e">
        <f ca="1">IF(322&lt;=$I$8, INDEX('Precios Diarios'!$A$2:$A$463, $G$8 - 1 + 322 - 1), NA())</f>
        <v>#N/A</v>
      </c>
      <c r="Q323" t="e">
        <f ca="1">IF(322&lt;=$I$8, INDEX('Precios Diarios'!$E$2:$E$463, $G$8 - 1 + 322 - 1), NA())</f>
        <v>#N/A</v>
      </c>
      <c r="R323" t="e">
        <f ca="1">IF(322&lt;=$I$8, INDEX('Precios Diarios'!$F$2:$F$463, $G$8 - 1 + 322 - 1), NA())</f>
        <v>#N/A</v>
      </c>
    </row>
    <row r="324" spans="16:18">
      <c r="P324" s="1" t="e">
        <f ca="1">IF(323&lt;=$I$8, INDEX('Precios Diarios'!$A$2:$A$463, $G$8 - 1 + 323 - 1), NA())</f>
        <v>#N/A</v>
      </c>
      <c r="Q324" t="e">
        <f ca="1">IF(323&lt;=$I$8, INDEX('Precios Diarios'!$E$2:$E$463, $G$8 - 1 + 323 - 1), NA())</f>
        <v>#N/A</v>
      </c>
      <c r="R324" t="e">
        <f ca="1">IF(323&lt;=$I$8, INDEX('Precios Diarios'!$F$2:$F$463, $G$8 - 1 + 323 - 1), NA())</f>
        <v>#N/A</v>
      </c>
    </row>
    <row r="325" spans="16:18">
      <c r="P325" s="1" t="e">
        <f ca="1">IF(324&lt;=$I$8, INDEX('Precios Diarios'!$A$2:$A$463, $G$8 - 1 + 324 - 1), NA())</f>
        <v>#N/A</v>
      </c>
      <c r="Q325" t="e">
        <f ca="1">IF(324&lt;=$I$8, INDEX('Precios Diarios'!$E$2:$E$463, $G$8 - 1 + 324 - 1), NA())</f>
        <v>#N/A</v>
      </c>
      <c r="R325" t="e">
        <f ca="1">IF(324&lt;=$I$8, INDEX('Precios Diarios'!$F$2:$F$463, $G$8 - 1 + 324 - 1), NA())</f>
        <v>#N/A</v>
      </c>
    </row>
    <row r="326" spans="16:18">
      <c r="P326" s="1" t="e">
        <f ca="1">IF(325&lt;=$I$8, INDEX('Precios Diarios'!$A$2:$A$463, $G$8 - 1 + 325 - 1), NA())</f>
        <v>#N/A</v>
      </c>
      <c r="Q326" t="e">
        <f ca="1">IF(325&lt;=$I$8, INDEX('Precios Diarios'!$E$2:$E$463, $G$8 - 1 + 325 - 1), NA())</f>
        <v>#N/A</v>
      </c>
      <c r="R326" t="e">
        <f ca="1">IF(325&lt;=$I$8, INDEX('Precios Diarios'!$F$2:$F$463, $G$8 - 1 + 325 - 1), NA())</f>
        <v>#N/A</v>
      </c>
    </row>
    <row r="327" spans="16:18">
      <c r="P327" s="1" t="e">
        <f ca="1">IF(326&lt;=$I$8, INDEX('Precios Diarios'!$A$2:$A$463, $G$8 - 1 + 326 - 1), NA())</f>
        <v>#N/A</v>
      </c>
      <c r="Q327" t="e">
        <f ca="1">IF(326&lt;=$I$8, INDEX('Precios Diarios'!$E$2:$E$463, $G$8 - 1 + 326 - 1), NA())</f>
        <v>#N/A</v>
      </c>
      <c r="R327" t="e">
        <f ca="1">IF(326&lt;=$I$8, INDEX('Precios Diarios'!$F$2:$F$463, $G$8 - 1 + 326 - 1), NA())</f>
        <v>#N/A</v>
      </c>
    </row>
    <row r="328" spans="16:18">
      <c r="P328" s="1" t="e">
        <f ca="1">IF(327&lt;=$I$8, INDEX('Precios Diarios'!$A$2:$A$463, $G$8 - 1 + 327 - 1), NA())</f>
        <v>#N/A</v>
      </c>
      <c r="Q328" t="e">
        <f ca="1">IF(327&lt;=$I$8, INDEX('Precios Diarios'!$E$2:$E$463, $G$8 - 1 + 327 - 1), NA())</f>
        <v>#N/A</v>
      </c>
      <c r="R328" t="e">
        <f ca="1">IF(327&lt;=$I$8, INDEX('Precios Diarios'!$F$2:$F$463, $G$8 - 1 + 327 - 1), NA())</f>
        <v>#N/A</v>
      </c>
    </row>
    <row r="329" spans="16:18">
      <c r="P329" s="1" t="e">
        <f ca="1">IF(328&lt;=$I$8, INDEX('Precios Diarios'!$A$2:$A$463, $G$8 - 1 + 328 - 1), NA())</f>
        <v>#N/A</v>
      </c>
      <c r="Q329" t="e">
        <f ca="1">IF(328&lt;=$I$8, INDEX('Precios Diarios'!$E$2:$E$463, $G$8 - 1 + 328 - 1), NA())</f>
        <v>#N/A</v>
      </c>
      <c r="R329" t="e">
        <f ca="1">IF(328&lt;=$I$8, INDEX('Precios Diarios'!$F$2:$F$463, $G$8 - 1 + 328 - 1), NA())</f>
        <v>#N/A</v>
      </c>
    </row>
    <row r="330" spans="16:18">
      <c r="P330" s="1" t="e">
        <f ca="1">IF(329&lt;=$I$8, INDEX('Precios Diarios'!$A$2:$A$463, $G$8 - 1 + 329 - 1), NA())</f>
        <v>#N/A</v>
      </c>
      <c r="Q330" t="e">
        <f ca="1">IF(329&lt;=$I$8, INDEX('Precios Diarios'!$E$2:$E$463, $G$8 - 1 + 329 - 1), NA())</f>
        <v>#N/A</v>
      </c>
      <c r="R330" t="e">
        <f ca="1">IF(329&lt;=$I$8, INDEX('Precios Diarios'!$F$2:$F$463, $G$8 - 1 + 329 - 1), NA())</f>
        <v>#N/A</v>
      </c>
    </row>
    <row r="331" spans="16:18">
      <c r="P331" s="1" t="e">
        <f ca="1">IF(330&lt;=$I$8, INDEX('Precios Diarios'!$A$2:$A$463, $G$8 - 1 + 330 - 1), NA())</f>
        <v>#N/A</v>
      </c>
      <c r="Q331" t="e">
        <f ca="1">IF(330&lt;=$I$8, INDEX('Precios Diarios'!$E$2:$E$463, $G$8 - 1 + 330 - 1), NA())</f>
        <v>#N/A</v>
      </c>
      <c r="R331" t="e">
        <f ca="1">IF(330&lt;=$I$8, INDEX('Precios Diarios'!$F$2:$F$463, $G$8 - 1 + 330 - 1), NA())</f>
        <v>#N/A</v>
      </c>
    </row>
    <row r="332" spans="16:18">
      <c r="P332" s="1" t="e">
        <f ca="1">IF(331&lt;=$I$8, INDEX('Precios Diarios'!$A$2:$A$463, $G$8 - 1 + 331 - 1), NA())</f>
        <v>#N/A</v>
      </c>
      <c r="Q332" t="e">
        <f ca="1">IF(331&lt;=$I$8, INDEX('Precios Diarios'!$E$2:$E$463, $G$8 - 1 + 331 - 1), NA())</f>
        <v>#N/A</v>
      </c>
      <c r="R332" t="e">
        <f ca="1">IF(331&lt;=$I$8, INDEX('Precios Diarios'!$F$2:$F$463, $G$8 - 1 + 331 - 1), NA())</f>
        <v>#N/A</v>
      </c>
    </row>
    <row r="333" spans="16:18">
      <c r="P333" s="1" t="e">
        <f ca="1">IF(332&lt;=$I$8, INDEX('Precios Diarios'!$A$2:$A$463, $G$8 - 1 + 332 - 1), NA())</f>
        <v>#N/A</v>
      </c>
      <c r="Q333" t="e">
        <f ca="1">IF(332&lt;=$I$8, INDEX('Precios Diarios'!$E$2:$E$463, $G$8 - 1 + 332 - 1), NA())</f>
        <v>#N/A</v>
      </c>
      <c r="R333" t="e">
        <f ca="1">IF(332&lt;=$I$8, INDEX('Precios Diarios'!$F$2:$F$463, $G$8 - 1 + 332 - 1), NA())</f>
        <v>#N/A</v>
      </c>
    </row>
    <row r="334" spans="16:18">
      <c r="P334" s="1" t="e">
        <f ca="1">IF(333&lt;=$I$8, INDEX('Precios Diarios'!$A$2:$A$463, $G$8 - 1 + 333 - 1), NA())</f>
        <v>#N/A</v>
      </c>
      <c r="Q334" t="e">
        <f ca="1">IF(333&lt;=$I$8, INDEX('Precios Diarios'!$E$2:$E$463, $G$8 - 1 + 333 - 1), NA())</f>
        <v>#N/A</v>
      </c>
      <c r="R334" t="e">
        <f ca="1">IF(333&lt;=$I$8, INDEX('Precios Diarios'!$F$2:$F$463, $G$8 - 1 + 333 - 1), NA())</f>
        <v>#N/A</v>
      </c>
    </row>
    <row r="335" spans="16:18">
      <c r="P335" s="1" t="e">
        <f ca="1">IF(334&lt;=$I$8, INDEX('Precios Diarios'!$A$2:$A$463, $G$8 - 1 + 334 - 1), NA())</f>
        <v>#N/A</v>
      </c>
      <c r="Q335" t="e">
        <f ca="1">IF(334&lt;=$I$8, INDEX('Precios Diarios'!$E$2:$E$463, $G$8 - 1 + 334 - 1), NA())</f>
        <v>#N/A</v>
      </c>
      <c r="R335" t="e">
        <f ca="1">IF(334&lt;=$I$8, INDEX('Precios Diarios'!$F$2:$F$463, $G$8 - 1 + 334 - 1), NA())</f>
        <v>#N/A</v>
      </c>
    </row>
    <row r="336" spans="16:18">
      <c r="P336" s="1" t="e">
        <f ca="1">IF(335&lt;=$I$8, INDEX('Precios Diarios'!$A$2:$A$463, $G$8 - 1 + 335 - 1), NA())</f>
        <v>#N/A</v>
      </c>
      <c r="Q336" t="e">
        <f ca="1">IF(335&lt;=$I$8, INDEX('Precios Diarios'!$E$2:$E$463, $G$8 - 1 + 335 - 1), NA())</f>
        <v>#N/A</v>
      </c>
      <c r="R336" t="e">
        <f ca="1">IF(335&lt;=$I$8, INDEX('Precios Diarios'!$F$2:$F$463, $G$8 - 1 + 335 - 1), NA())</f>
        <v>#N/A</v>
      </c>
    </row>
    <row r="337" spans="16:18">
      <c r="P337" s="1" t="e">
        <f ca="1">IF(336&lt;=$I$8, INDEX('Precios Diarios'!$A$2:$A$463, $G$8 - 1 + 336 - 1), NA())</f>
        <v>#N/A</v>
      </c>
      <c r="Q337" t="e">
        <f ca="1">IF(336&lt;=$I$8, INDEX('Precios Diarios'!$E$2:$E$463, $G$8 - 1 + 336 - 1), NA())</f>
        <v>#N/A</v>
      </c>
      <c r="R337" t="e">
        <f ca="1">IF(336&lt;=$I$8, INDEX('Precios Diarios'!$F$2:$F$463, $G$8 - 1 + 336 - 1), NA())</f>
        <v>#N/A</v>
      </c>
    </row>
    <row r="338" spans="16:18">
      <c r="P338" s="1" t="e">
        <f ca="1">IF(337&lt;=$I$8, INDEX('Precios Diarios'!$A$2:$A$463, $G$8 - 1 + 337 - 1), NA())</f>
        <v>#N/A</v>
      </c>
      <c r="Q338" t="e">
        <f ca="1">IF(337&lt;=$I$8, INDEX('Precios Diarios'!$E$2:$E$463, $G$8 - 1 + 337 - 1), NA())</f>
        <v>#N/A</v>
      </c>
      <c r="R338" t="e">
        <f ca="1">IF(337&lt;=$I$8, INDEX('Precios Diarios'!$F$2:$F$463, $G$8 - 1 + 337 - 1), NA())</f>
        <v>#N/A</v>
      </c>
    </row>
    <row r="339" spans="16:18">
      <c r="P339" s="1" t="e">
        <f ca="1">IF(338&lt;=$I$8, INDEX('Precios Diarios'!$A$2:$A$463, $G$8 - 1 + 338 - 1), NA())</f>
        <v>#N/A</v>
      </c>
      <c r="Q339" t="e">
        <f ca="1">IF(338&lt;=$I$8, INDEX('Precios Diarios'!$E$2:$E$463, $G$8 - 1 + 338 - 1), NA())</f>
        <v>#N/A</v>
      </c>
      <c r="R339" t="e">
        <f ca="1">IF(338&lt;=$I$8, INDEX('Precios Diarios'!$F$2:$F$463, $G$8 - 1 + 338 - 1), NA())</f>
        <v>#N/A</v>
      </c>
    </row>
    <row r="340" spans="16:18">
      <c r="P340" s="1" t="e">
        <f ca="1">IF(339&lt;=$I$8, INDEX('Precios Diarios'!$A$2:$A$463, $G$8 - 1 + 339 - 1), NA())</f>
        <v>#N/A</v>
      </c>
      <c r="Q340" t="e">
        <f ca="1">IF(339&lt;=$I$8, INDEX('Precios Diarios'!$E$2:$E$463, $G$8 - 1 + 339 - 1), NA())</f>
        <v>#N/A</v>
      </c>
      <c r="R340" t="e">
        <f ca="1">IF(339&lt;=$I$8, INDEX('Precios Diarios'!$F$2:$F$463, $G$8 - 1 + 339 - 1), NA())</f>
        <v>#N/A</v>
      </c>
    </row>
    <row r="341" spans="16:18">
      <c r="P341" s="1" t="e">
        <f ca="1">IF(340&lt;=$I$8, INDEX('Precios Diarios'!$A$2:$A$463, $G$8 - 1 + 340 - 1), NA())</f>
        <v>#N/A</v>
      </c>
      <c r="Q341" t="e">
        <f ca="1">IF(340&lt;=$I$8, INDEX('Precios Diarios'!$E$2:$E$463, $G$8 - 1 + 340 - 1), NA())</f>
        <v>#N/A</v>
      </c>
      <c r="R341" t="e">
        <f ca="1">IF(340&lt;=$I$8, INDEX('Precios Diarios'!$F$2:$F$463, $G$8 - 1 + 340 - 1), NA())</f>
        <v>#N/A</v>
      </c>
    </row>
    <row r="342" spans="16:18">
      <c r="P342" s="1" t="e">
        <f ca="1">IF(341&lt;=$I$8, INDEX('Precios Diarios'!$A$2:$A$463, $G$8 - 1 + 341 - 1), NA())</f>
        <v>#N/A</v>
      </c>
      <c r="Q342" t="e">
        <f ca="1">IF(341&lt;=$I$8, INDEX('Precios Diarios'!$E$2:$E$463, $G$8 - 1 + 341 - 1), NA())</f>
        <v>#N/A</v>
      </c>
      <c r="R342" t="e">
        <f ca="1">IF(341&lt;=$I$8, INDEX('Precios Diarios'!$F$2:$F$463, $G$8 - 1 + 341 - 1), NA())</f>
        <v>#N/A</v>
      </c>
    </row>
    <row r="343" spans="16:18">
      <c r="P343" s="1" t="e">
        <f ca="1">IF(342&lt;=$I$8, INDEX('Precios Diarios'!$A$2:$A$463, $G$8 - 1 + 342 - 1), NA())</f>
        <v>#N/A</v>
      </c>
      <c r="Q343" t="e">
        <f ca="1">IF(342&lt;=$I$8, INDEX('Precios Diarios'!$E$2:$E$463, $G$8 - 1 + 342 - 1), NA())</f>
        <v>#N/A</v>
      </c>
      <c r="R343" t="e">
        <f ca="1">IF(342&lt;=$I$8, INDEX('Precios Diarios'!$F$2:$F$463, $G$8 - 1 + 342 - 1), NA())</f>
        <v>#N/A</v>
      </c>
    </row>
    <row r="344" spans="16:18">
      <c r="P344" s="1" t="e">
        <f ca="1">IF(343&lt;=$I$8, INDEX('Precios Diarios'!$A$2:$A$463, $G$8 - 1 + 343 - 1), NA())</f>
        <v>#N/A</v>
      </c>
      <c r="Q344" t="e">
        <f ca="1">IF(343&lt;=$I$8, INDEX('Precios Diarios'!$E$2:$E$463, $G$8 - 1 + 343 - 1), NA())</f>
        <v>#N/A</v>
      </c>
      <c r="R344" t="e">
        <f ca="1">IF(343&lt;=$I$8, INDEX('Precios Diarios'!$F$2:$F$463, $G$8 - 1 + 343 - 1), NA())</f>
        <v>#N/A</v>
      </c>
    </row>
    <row r="345" spans="16:18">
      <c r="P345" s="1" t="e">
        <f ca="1">IF(344&lt;=$I$8, INDEX('Precios Diarios'!$A$2:$A$463, $G$8 - 1 + 344 - 1), NA())</f>
        <v>#N/A</v>
      </c>
      <c r="Q345" t="e">
        <f ca="1">IF(344&lt;=$I$8, INDEX('Precios Diarios'!$E$2:$E$463, $G$8 - 1 + 344 - 1), NA())</f>
        <v>#N/A</v>
      </c>
      <c r="R345" t="e">
        <f ca="1">IF(344&lt;=$I$8, INDEX('Precios Diarios'!$F$2:$F$463, $G$8 - 1 + 344 - 1), NA())</f>
        <v>#N/A</v>
      </c>
    </row>
    <row r="346" spans="16:18">
      <c r="P346" s="1" t="e">
        <f ca="1">IF(345&lt;=$I$8, INDEX('Precios Diarios'!$A$2:$A$463, $G$8 - 1 + 345 - 1), NA())</f>
        <v>#N/A</v>
      </c>
      <c r="Q346" t="e">
        <f ca="1">IF(345&lt;=$I$8, INDEX('Precios Diarios'!$E$2:$E$463, $G$8 - 1 + 345 - 1), NA())</f>
        <v>#N/A</v>
      </c>
      <c r="R346" t="e">
        <f ca="1">IF(345&lt;=$I$8, INDEX('Precios Diarios'!$F$2:$F$463, $G$8 - 1 + 345 - 1), NA())</f>
        <v>#N/A</v>
      </c>
    </row>
    <row r="347" spans="16:18">
      <c r="P347" s="1" t="e">
        <f ca="1">IF(346&lt;=$I$8, INDEX('Precios Diarios'!$A$2:$A$463, $G$8 - 1 + 346 - 1), NA())</f>
        <v>#N/A</v>
      </c>
      <c r="Q347" t="e">
        <f ca="1">IF(346&lt;=$I$8, INDEX('Precios Diarios'!$E$2:$E$463, $G$8 - 1 + 346 - 1), NA())</f>
        <v>#N/A</v>
      </c>
      <c r="R347" t="e">
        <f ca="1">IF(346&lt;=$I$8, INDEX('Precios Diarios'!$F$2:$F$463, $G$8 - 1 + 346 - 1), NA())</f>
        <v>#N/A</v>
      </c>
    </row>
    <row r="348" spans="16:18">
      <c r="P348" s="1" t="e">
        <f ca="1">IF(347&lt;=$I$8, INDEX('Precios Diarios'!$A$2:$A$463, $G$8 - 1 + 347 - 1), NA())</f>
        <v>#N/A</v>
      </c>
      <c r="Q348" t="e">
        <f ca="1">IF(347&lt;=$I$8, INDEX('Precios Diarios'!$E$2:$E$463, $G$8 - 1 + 347 - 1), NA())</f>
        <v>#N/A</v>
      </c>
      <c r="R348" t="e">
        <f ca="1">IF(347&lt;=$I$8, INDEX('Precios Diarios'!$F$2:$F$463, $G$8 - 1 + 347 - 1), NA())</f>
        <v>#N/A</v>
      </c>
    </row>
    <row r="349" spans="16:18">
      <c r="P349" s="1" t="e">
        <f ca="1">IF(348&lt;=$I$8, INDEX('Precios Diarios'!$A$2:$A$463, $G$8 - 1 + 348 - 1), NA())</f>
        <v>#N/A</v>
      </c>
      <c r="Q349" t="e">
        <f ca="1">IF(348&lt;=$I$8, INDEX('Precios Diarios'!$E$2:$E$463, $G$8 - 1 + 348 - 1), NA())</f>
        <v>#N/A</v>
      </c>
      <c r="R349" t="e">
        <f ca="1">IF(348&lt;=$I$8, INDEX('Precios Diarios'!$F$2:$F$463, $G$8 - 1 + 348 - 1), NA())</f>
        <v>#N/A</v>
      </c>
    </row>
    <row r="350" spans="16:18">
      <c r="P350" s="1" t="e">
        <f ca="1">IF(349&lt;=$I$8, INDEX('Precios Diarios'!$A$2:$A$463, $G$8 - 1 + 349 - 1), NA())</f>
        <v>#N/A</v>
      </c>
      <c r="Q350" t="e">
        <f ca="1">IF(349&lt;=$I$8, INDEX('Precios Diarios'!$E$2:$E$463, $G$8 - 1 + 349 - 1), NA())</f>
        <v>#N/A</v>
      </c>
      <c r="R350" t="e">
        <f ca="1">IF(349&lt;=$I$8, INDEX('Precios Diarios'!$F$2:$F$463, $G$8 - 1 + 349 - 1), NA())</f>
        <v>#N/A</v>
      </c>
    </row>
    <row r="351" spans="16:18">
      <c r="P351" s="1" t="e">
        <f ca="1">IF(350&lt;=$I$8, INDEX('Precios Diarios'!$A$2:$A$463, $G$8 - 1 + 350 - 1), NA())</f>
        <v>#N/A</v>
      </c>
      <c r="Q351" t="e">
        <f ca="1">IF(350&lt;=$I$8, INDEX('Precios Diarios'!$E$2:$E$463, $G$8 - 1 + 350 - 1), NA())</f>
        <v>#N/A</v>
      </c>
      <c r="R351" t="e">
        <f ca="1">IF(350&lt;=$I$8, INDEX('Precios Diarios'!$F$2:$F$463, $G$8 - 1 + 350 - 1), NA())</f>
        <v>#N/A</v>
      </c>
    </row>
    <row r="352" spans="16:18">
      <c r="P352" s="1" t="e">
        <f ca="1">IF(351&lt;=$I$8, INDEX('Precios Diarios'!$A$2:$A$463, $G$8 - 1 + 351 - 1), NA())</f>
        <v>#N/A</v>
      </c>
      <c r="Q352" t="e">
        <f ca="1">IF(351&lt;=$I$8, INDEX('Precios Diarios'!$E$2:$E$463, $G$8 - 1 + 351 - 1), NA())</f>
        <v>#N/A</v>
      </c>
      <c r="R352" t="e">
        <f ca="1">IF(351&lt;=$I$8, INDEX('Precios Diarios'!$F$2:$F$463, $G$8 - 1 + 351 - 1), NA())</f>
        <v>#N/A</v>
      </c>
    </row>
    <row r="353" spans="16:18">
      <c r="P353" s="1" t="e">
        <f ca="1">IF(352&lt;=$I$8, INDEX('Precios Diarios'!$A$2:$A$463, $G$8 - 1 + 352 - 1), NA())</f>
        <v>#N/A</v>
      </c>
      <c r="Q353" t="e">
        <f ca="1">IF(352&lt;=$I$8, INDEX('Precios Diarios'!$E$2:$E$463, $G$8 - 1 + 352 - 1), NA())</f>
        <v>#N/A</v>
      </c>
      <c r="R353" t="e">
        <f ca="1">IF(352&lt;=$I$8, INDEX('Precios Diarios'!$F$2:$F$463, $G$8 - 1 + 352 - 1), NA())</f>
        <v>#N/A</v>
      </c>
    </row>
    <row r="354" spans="16:18">
      <c r="P354" s="1" t="e">
        <f ca="1">IF(353&lt;=$I$8, INDEX('Precios Diarios'!$A$2:$A$463, $G$8 - 1 + 353 - 1), NA())</f>
        <v>#N/A</v>
      </c>
      <c r="Q354" t="e">
        <f ca="1">IF(353&lt;=$I$8, INDEX('Precios Diarios'!$E$2:$E$463, $G$8 - 1 + 353 - 1), NA())</f>
        <v>#N/A</v>
      </c>
      <c r="R354" t="e">
        <f ca="1">IF(353&lt;=$I$8, INDEX('Precios Diarios'!$F$2:$F$463, $G$8 - 1 + 353 - 1), NA())</f>
        <v>#N/A</v>
      </c>
    </row>
    <row r="355" spans="16:18">
      <c r="P355" s="1" t="e">
        <f ca="1">IF(354&lt;=$I$8, INDEX('Precios Diarios'!$A$2:$A$463, $G$8 - 1 + 354 - 1), NA())</f>
        <v>#N/A</v>
      </c>
      <c r="Q355" t="e">
        <f ca="1">IF(354&lt;=$I$8, INDEX('Precios Diarios'!$E$2:$E$463, $G$8 - 1 + 354 - 1), NA())</f>
        <v>#N/A</v>
      </c>
      <c r="R355" t="e">
        <f ca="1">IF(354&lt;=$I$8, INDEX('Precios Diarios'!$F$2:$F$463, $G$8 - 1 + 354 - 1), NA())</f>
        <v>#N/A</v>
      </c>
    </row>
    <row r="356" spans="16:18">
      <c r="P356" s="1" t="e">
        <f ca="1">IF(355&lt;=$I$8, INDEX('Precios Diarios'!$A$2:$A$463, $G$8 - 1 + 355 - 1), NA())</f>
        <v>#N/A</v>
      </c>
      <c r="Q356" t="e">
        <f ca="1">IF(355&lt;=$I$8, INDEX('Precios Diarios'!$E$2:$E$463, $G$8 - 1 + 355 - 1), NA())</f>
        <v>#N/A</v>
      </c>
      <c r="R356" t="e">
        <f ca="1">IF(355&lt;=$I$8, INDEX('Precios Diarios'!$F$2:$F$463, $G$8 - 1 + 355 - 1), NA())</f>
        <v>#N/A</v>
      </c>
    </row>
    <row r="357" spans="16:18">
      <c r="P357" s="1" t="e">
        <f ca="1">IF(356&lt;=$I$8, INDEX('Precios Diarios'!$A$2:$A$463, $G$8 - 1 + 356 - 1), NA())</f>
        <v>#N/A</v>
      </c>
      <c r="Q357" t="e">
        <f ca="1">IF(356&lt;=$I$8, INDEX('Precios Diarios'!$E$2:$E$463, $G$8 - 1 + 356 - 1), NA())</f>
        <v>#N/A</v>
      </c>
      <c r="R357" t="e">
        <f ca="1">IF(356&lt;=$I$8, INDEX('Precios Diarios'!$F$2:$F$463, $G$8 - 1 + 356 - 1), NA())</f>
        <v>#N/A</v>
      </c>
    </row>
    <row r="358" spans="16:18">
      <c r="P358" s="1" t="e">
        <f ca="1">IF(357&lt;=$I$8, INDEX('Precios Diarios'!$A$2:$A$463, $G$8 - 1 + 357 - 1), NA())</f>
        <v>#N/A</v>
      </c>
      <c r="Q358" t="e">
        <f ca="1">IF(357&lt;=$I$8, INDEX('Precios Diarios'!$E$2:$E$463, $G$8 - 1 + 357 - 1), NA())</f>
        <v>#N/A</v>
      </c>
      <c r="R358" t="e">
        <f ca="1">IF(357&lt;=$I$8, INDEX('Precios Diarios'!$F$2:$F$463, $G$8 - 1 + 357 - 1), NA())</f>
        <v>#N/A</v>
      </c>
    </row>
    <row r="359" spans="16:18">
      <c r="P359" s="1" t="e">
        <f ca="1">IF(358&lt;=$I$8, INDEX('Precios Diarios'!$A$2:$A$463, $G$8 - 1 + 358 - 1), NA())</f>
        <v>#N/A</v>
      </c>
      <c r="Q359" t="e">
        <f ca="1">IF(358&lt;=$I$8, INDEX('Precios Diarios'!$E$2:$E$463, $G$8 - 1 + 358 - 1), NA())</f>
        <v>#N/A</v>
      </c>
      <c r="R359" t="e">
        <f ca="1">IF(358&lt;=$I$8, INDEX('Precios Diarios'!$F$2:$F$463, $G$8 - 1 + 358 - 1), NA())</f>
        <v>#N/A</v>
      </c>
    </row>
    <row r="360" spans="16:18">
      <c r="P360" s="1" t="e">
        <f ca="1">IF(359&lt;=$I$8, INDEX('Precios Diarios'!$A$2:$A$463, $G$8 - 1 + 359 - 1), NA())</f>
        <v>#N/A</v>
      </c>
      <c r="Q360" t="e">
        <f ca="1">IF(359&lt;=$I$8, INDEX('Precios Diarios'!$E$2:$E$463, $G$8 - 1 + 359 - 1), NA())</f>
        <v>#N/A</v>
      </c>
      <c r="R360" t="e">
        <f ca="1">IF(359&lt;=$I$8, INDEX('Precios Diarios'!$F$2:$F$463, $G$8 - 1 + 359 - 1), NA())</f>
        <v>#N/A</v>
      </c>
    </row>
    <row r="361" spans="16:18">
      <c r="P361" s="1" t="e">
        <f ca="1">IF(360&lt;=$I$8, INDEX('Precios Diarios'!$A$2:$A$463, $G$8 - 1 + 360 - 1), NA())</f>
        <v>#N/A</v>
      </c>
      <c r="Q361" t="e">
        <f ca="1">IF(360&lt;=$I$8, INDEX('Precios Diarios'!$E$2:$E$463, $G$8 - 1 + 360 - 1), NA())</f>
        <v>#N/A</v>
      </c>
      <c r="R361" t="e">
        <f ca="1">IF(360&lt;=$I$8, INDEX('Precios Diarios'!$F$2:$F$463, $G$8 - 1 + 360 - 1), NA())</f>
        <v>#N/A</v>
      </c>
    </row>
    <row r="362" spans="16:18">
      <c r="P362" s="1" t="e">
        <f ca="1">IF(361&lt;=$I$8, INDEX('Precios Diarios'!$A$2:$A$463, $G$8 - 1 + 361 - 1), NA())</f>
        <v>#N/A</v>
      </c>
      <c r="Q362" t="e">
        <f ca="1">IF(361&lt;=$I$8, INDEX('Precios Diarios'!$E$2:$E$463, $G$8 - 1 + 361 - 1), NA())</f>
        <v>#N/A</v>
      </c>
      <c r="R362" t="e">
        <f ca="1">IF(361&lt;=$I$8, INDEX('Precios Diarios'!$F$2:$F$463, $G$8 - 1 + 361 - 1), NA())</f>
        <v>#N/A</v>
      </c>
    </row>
    <row r="363" spans="16:18">
      <c r="P363" s="1" t="e">
        <f ca="1">IF(362&lt;=$I$8, INDEX('Precios Diarios'!$A$2:$A$463, $G$8 - 1 + 362 - 1), NA())</f>
        <v>#N/A</v>
      </c>
      <c r="Q363" t="e">
        <f ca="1">IF(362&lt;=$I$8, INDEX('Precios Diarios'!$E$2:$E$463, $G$8 - 1 + 362 - 1), NA())</f>
        <v>#N/A</v>
      </c>
      <c r="R363" t="e">
        <f ca="1">IF(362&lt;=$I$8, INDEX('Precios Diarios'!$F$2:$F$463, $G$8 - 1 + 362 - 1), NA())</f>
        <v>#N/A</v>
      </c>
    </row>
    <row r="364" spans="16:18">
      <c r="P364" s="1" t="e">
        <f ca="1">IF(363&lt;=$I$8, INDEX('Precios Diarios'!$A$2:$A$463, $G$8 - 1 + 363 - 1), NA())</f>
        <v>#N/A</v>
      </c>
      <c r="Q364" t="e">
        <f ca="1">IF(363&lt;=$I$8, INDEX('Precios Diarios'!$E$2:$E$463, $G$8 - 1 + 363 - 1), NA())</f>
        <v>#N/A</v>
      </c>
      <c r="R364" t="e">
        <f ca="1">IF(363&lt;=$I$8, INDEX('Precios Diarios'!$F$2:$F$463, $G$8 - 1 + 363 - 1), NA())</f>
        <v>#N/A</v>
      </c>
    </row>
    <row r="365" spans="16:18">
      <c r="P365" s="1" t="e">
        <f ca="1">IF(364&lt;=$I$8, INDEX('Precios Diarios'!$A$2:$A$463, $G$8 - 1 + 364 - 1), NA())</f>
        <v>#N/A</v>
      </c>
      <c r="Q365" t="e">
        <f ca="1">IF(364&lt;=$I$8, INDEX('Precios Diarios'!$E$2:$E$463, $G$8 - 1 + 364 - 1), NA())</f>
        <v>#N/A</v>
      </c>
      <c r="R365" t="e">
        <f ca="1">IF(364&lt;=$I$8, INDEX('Precios Diarios'!$F$2:$F$463, $G$8 - 1 + 364 - 1), NA())</f>
        <v>#N/A</v>
      </c>
    </row>
    <row r="366" spans="16:18">
      <c r="P366" s="1" t="e">
        <f ca="1">IF(365&lt;=$I$8, INDEX('Precios Diarios'!$A$2:$A$463, $G$8 - 1 + 365 - 1), NA())</f>
        <v>#N/A</v>
      </c>
      <c r="Q366" t="e">
        <f ca="1">IF(365&lt;=$I$8, INDEX('Precios Diarios'!$E$2:$E$463, $G$8 - 1 + 365 - 1), NA())</f>
        <v>#N/A</v>
      </c>
      <c r="R366" t="e">
        <f ca="1">IF(365&lt;=$I$8, INDEX('Precios Diarios'!$F$2:$F$463, $G$8 - 1 + 365 - 1), NA())</f>
        <v>#N/A</v>
      </c>
    </row>
    <row r="367" spans="16:18">
      <c r="P367" s="1" t="e">
        <f ca="1">IF(366&lt;=$I$8, INDEX('Precios Diarios'!$A$2:$A$463, $G$8 - 1 + 366 - 1), NA())</f>
        <v>#N/A</v>
      </c>
      <c r="Q367" t="e">
        <f ca="1">IF(366&lt;=$I$8, INDEX('Precios Diarios'!$E$2:$E$463, $G$8 - 1 + 366 - 1), NA())</f>
        <v>#N/A</v>
      </c>
      <c r="R367" t="e">
        <f ca="1">IF(366&lt;=$I$8, INDEX('Precios Diarios'!$F$2:$F$463, $G$8 - 1 + 366 - 1), NA())</f>
        <v>#N/A</v>
      </c>
    </row>
    <row r="368" spans="16:18">
      <c r="P368" s="1" t="e">
        <f ca="1">IF(367&lt;=$I$8, INDEX('Precios Diarios'!$A$2:$A$463, $G$8 - 1 + 367 - 1), NA())</f>
        <v>#N/A</v>
      </c>
      <c r="Q368" t="e">
        <f ca="1">IF(367&lt;=$I$8, INDEX('Precios Diarios'!$E$2:$E$463, $G$8 - 1 + 367 - 1), NA())</f>
        <v>#N/A</v>
      </c>
      <c r="R368" t="e">
        <f ca="1">IF(367&lt;=$I$8, INDEX('Precios Diarios'!$F$2:$F$463, $G$8 - 1 + 367 - 1), NA())</f>
        <v>#N/A</v>
      </c>
    </row>
    <row r="369" spans="16:18">
      <c r="P369" s="1" t="e">
        <f ca="1">IF(368&lt;=$I$8, INDEX('Precios Diarios'!$A$2:$A$463, $G$8 - 1 + 368 - 1), NA())</f>
        <v>#N/A</v>
      </c>
      <c r="Q369" t="e">
        <f ca="1">IF(368&lt;=$I$8, INDEX('Precios Diarios'!$E$2:$E$463, $G$8 - 1 + 368 - 1), NA())</f>
        <v>#N/A</v>
      </c>
      <c r="R369" t="e">
        <f ca="1">IF(368&lt;=$I$8, INDEX('Precios Diarios'!$F$2:$F$463, $G$8 - 1 + 368 - 1), NA())</f>
        <v>#N/A</v>
      </c>
    </row>
    <row r="370" spans="16:18">
      <c r="P370" s="1" t="e">
        <f ca="1">IF(369&lt;=$I$8, INDEX('Precios Diarios'!$A$2:$A$463, $G$8 - 1 + 369 - 1), NA())</f>
        <v>#N/A</v>
      </c>
      <c r="Q370" t="e">
        <f ca="1">IF(369&lt;=$I$8, INDEX('Precios Diarios'!$E$2:$E$463, $G$8 - 1 + 369 - 1), NA())</f>
        <v>#N/A</v>
      </c>
      <c r="R370" t="e">
        <f ca="1">IF(369&lt;=$I$8, INDEX('Precios Diarios'!$F$2:$F$463, $G$8 - 1 + 369 - 1), NA())</f>
        <v>#N/A</v>
      </c>
    </row>
    <row r="371" spans="16:18">
      <c r="P371" s="1" t="e">
        <f ca="1">IF(370&lt;=$I$8, INDEX('Precios Diarios'!$A$2:$A$463, $G$8 - 1 + 370 - 1), NA())</f>
        <v>#N/A</v>
      </c>
      <c r="Q371" t="e">
        <f ca="1">IF(370&lt;=$I$8, INDEX('Precios Diarios'!$E$2:$E$463, $G$8 - 1 + 370 - 1), NA())</f>
        <v>#N/A</v>
      </c>
      <c r="R371" t="e">
        <f ca="1">IF(370&lt;=$I$8, INDEX('Precios Diarios'!$F$2:$F$463, $G$8 - 1 + 370 - 1), NA())</f>
        <v>#N/A</v>
      </c>
    </row>
    <row r="372" spans="16:18">
      <c r="P372" s="1" t="e">
        <f ca="1">IF(371&lt;=$I$8, INDEX('Precios Diarios'!$A$2:$A$463, $G$8 - 1 + 371 - 1), NA())</f>
        <v>#N/A</v>
      </c>
      <c r="Q372" t="e">
        <f ca="1">IF(371&lt;=$I$8, INDEX('Precios Diarios'!$E$2:$E$463, $G$8 - 1 + 371 - 1), NA())</f>
        <v>#N/A</v>
      </c>
      <c r="R372" t="e">
        <f ca="1">IF(371&lt;=$I$8, INDEX('Precios Diarios'!$F$2:$F$463, $G$8 - 1 + 371 - 1), NA())</f>
        <v>#N/A</v>
      </c>
    </row>
    <row r="373" spans="16:18">
      <c r="P373" s="1" t="e">
        <f ca="1">IF(372&lt;=$I$8, INDEX('Precios Diarios'!$A$2:$A$463, $G$8 - 1 + 372 - 1), NA())</f>
        <v>#N/A</v>
      </c>
      <c r="Q373" t="e">
        <f ca="1">IF(372&lt;=$I$8, INDEX('Precios Diarios'!$E$2:$E$463, $G$8 - 1 + 372 - 1), NA())</f>
        <v>#N/A</v>
      </c>
      <c r="R373" t="e">
        <f ca="1">IF(372&lt;=$I$8, INDEX('Precios Diarios'!$F$2:$F$463, $G$8 - 1 + 372 - 1), NA())</f>
        <v>#N/A</v>
      </c>
    </row>
    <row r="374" spans="16:18">
      <c r="P374" s="1" t="e">
        <f ca="1">IF(373&lt;=$I$8, INDEX('Precios Diarios'!$A$2:$A$463, $G$8 - 1 + 373 - 1), NA())</f>
        <v>#N/A</v>
      </c>
      <c r="Q374" t="e">
        <f ca="1">IF(373&lt;=$I$8, INDEX('Precios Diarios'!$E$2:$E$463, $G$8 - 1 + 373 - 1), NA())</f>
        <v>#N/A</v>
      </c>
      <c r="R374" t="e">
        <f ca="1">IF(373&lt;=$I$8, INDEX('Precios Diarios'!$F$2:$F$463, $G$8 - 1 + 373 - 1), NA())</f>
        <v>#N/A</v>
      </c>
    </row>
    <row r="375" spans="16:18">
      <c r="P375" s="1" t="e">
        <f ca="1">IF(374&lt;=$I$8, INDEX('Precios Diarios'!$A$2:$A$463, $G$8 - 1 + 374 - 1), NA())</f>
        <v>#N/A</v>
      </c>
      <c r="Q375" t="e">
        <f ca="1">IF(374&lt;=$I$8, INDEX('Precios Diarios'!$E$2:$E$463, $G$8 - 1 + 374 - 1), NA())</f>
        <v>#N/A</v>
      </c>
      <c r="R375" t="e">
        <f ca="1">IF(374&lt;=$I$8, INDEX('Precios Diarios'!$F$2:$F$463, $G$8 - 1 + 374 - 1), NA())</f>
        <v>#N/A</v>
      </c>
    </row>
    <row r="376" spans="16:18">
      <c r="P376" s="1" t="e">
        <f ca="1">IF(375&lt;=$I$8, INDEX('Precios Diarios'!$A$2:$A$463, $G$8 - 1 + 375 - 1), NA())</f>
        <v>#N/A</v>
      </c>
      <c r="Q376" t="e">
        <f ca="1">IF(375&lt;=$I$8, INDEX('Precios Diarios'!$E$2:$E$463, $G$8 - 1 + 375 - 1), NA())</f>
        <v>#N/A</v>
      </c>
      <c r="R376" t="e">
        <f ca="1">IF(375&lt;=$I$8, INDEX('Precios Diarios'!$F$2:$F$463, $G$8 - 1 + 375 - 1), NA())</f>
        <v>#N/A</v>
      </c>
    </row>
    <row r="377" spans="16:18">
      <c r="P377" s="1" t="e">
        <f ca="1">IF(376&lt;=$I$8, INDEX('Precios Diarios'!$A$2:$A$463, $G$8 - 1 + 376 - 1), NA())</f>
        <v>#N/A</v>
      </c>
      <c r="Q377" t="e">
        <f ca="1">IF(376&lt;=$I$8, INDEX('Precios Diarios'!$E$2:$E$463, $G$8 - 1 + 376 - 1), NA())</f>
        <v>#N/A</v>
      </c>
      <c r="R377" t="e">
        <f ca="1">IF(376&lt;=$I$8, INDEX('Precios Diarios'!$F$2:$F$463, $G$8 - 1 + 376 - 1), NA())</f>
        <v>#N/A</v>
      </c>
    </row>
    <row r="378" spans="16:18">
      <c r="P378" s="1" t="e">
        <f ca="1">IF(377&lt;=$I$8, INDEX('Precios Diarios'!$A$2:$A$463, $G$8 - 1 + 377 - 1), NA())</f>
        <v>#N/A</v>
      </c>
      <c r="Q378" t="e">
        <f ca="1">IF(377&lt;=$I$8, INDEX('Precios Diarios'!$E$2:$E$463, $G$8 - 1 + 377 - 1), NA())</f>
        <v>#N/A</v>
      </c>
      <c r="R378" t="e">
        <f ca="1">IF(377&lt;=$I$8, INDEX('Precios Diarios'!$F$2:$F$463, $G$8 - 1 + 377 - 1), NA())</f>
        <v>#N/A</v>
      </c>
    </row>
    <row r="379" spans="16:18">
      <c r="P379" s="1" t="e">
        <f ca="1">IF(378&lt;=$I$8, INDEX('Precios Diarios'!$A$2:$A$463, $G$8 - 1 + 378 - 1), NA())</f>
        <v>#N/A</v>
      </c>
      <c r="Q379" t="e">
        <f ca="1">IF(378&lt;=$I$8, INDEX('Precios Diarios'!$E$2:$E$463, $G$8 - 1 + 378 - 1), NA())</f>
        <v>#N/A</v>
      </c>
      <c r="R379" t="e">
        <f ca="1">IF(378&lt;=$I$8, INDEX('Precios Diarios'!$F$2:$F$463, $G$8 - 1 + 378 - 1), NA())</f>
        <v>#N/A</v>
      </c>
    </row>
    <row r="380" spans="16:18">
      <c r="P380" s="1" t="e">
        <f ca="1">IF(379&lt;=$I$8, INDEX('Precios Diarios'!$A$2:$A$463, $G$8 - 1 + 379 - 1), NA())</f>
        <v>#N/A</v>
      </c>
      <c r="Q380" t="e">
        <f ca="1">IF(379&lt;=$I$8, INDEX('Precios Diarios'!$E$2:$E$463, $G$8 - 1 + 379 - 1), NA())</f>
        <v>#N/A</v>
      </c>
      <c r="R380" t="e">
        <f ca="1">IF(379&lt;=$I$8, INDEX('Precios Diarios'!$F$2:$F$463, $G$8 - 1 + 379 - 1), NA())</f>
        <v>#N/A</v>
      </c>
    </row>
    <row r="381" spans="16:18">
      <c r="P381" s="1" t="e">
        <f ca="1">IF(380&lt;=$I$8, INDEX('Precios Diarios'!$A$2:$A$463, $G$8 - 1 + 380 - 1), NA())</f>
        <v>#N/A</v>
      </c>
      <c r="Q381" t="e">
        <f ca="1">IF(380&lt;=$I$8, INDEX('Precios Diarios'!$E$2:$E$463, $G$8 - 1 + 380 - 1), NA())</f>
        <v>#N/A</v>
      </c>
      <c r="R381" t="e">
        <f ca="1">IF(380&lt;=$I$8, INDEX('Precios Diarios'!$F$2:$F$463, $G$8 - 1 + 380 - 1), NA())</f>
        <v>#N/A</v>
      </c>
    </row>
    <row r="382" spans="16:18">
      <c r="P382" s="1" t="e">
        <f ca="1">IF(381&lt;=$I$8, INDEX('Precios Diarios'!$A$2:$A$463, $G$8 - 1 + 381 - 1), NA())</f>
        <v>#N/A</v>
      </c>
      <c r="Q382" t="e">
        <f ca="1">IF(381&lt;=$I$8, INDEX('Precios Diarios'!$E$2:$E$463, $G$8 - 1 + 381 - 1), NA())</f>
        <v>#N/A</v>
      </c>
      <c r="R382" t="e">
        <f ca="1">IF(381&lt;=$I$8, INDEX('Precios Diarios'!$F$2:$F$463, $G$8 - 1 + 381 - 1), NA())</f>
        <v>#N/A</v>
      </c>
    </row>
    <row r="383" spans="16:18">
      <c r="P383" s="1" t="e">
        <f ca="1">IF(382&lt;=$I$8, INDEX('Precios Diarios'!$A$2:$A$463, $G$8 - 1 + 382 - 1), NA())</f>
        <v>#N/A</v>
      </c>
      <c r="Q383" t="e">
        <f ca="1">IF(382&lt;=$I$8, INDEX('Precios Diarios'!$E$2:$E$463, $G$8 - 1 + 382 - 1), NA())</f>
        <v>#N/A</v>
      </c>
      <c r="R383" t="e">
        <f ca="1">IF(382&lt;=$I$8, INDEX('Precios Diarios'!$F$2:$F$463, $G$8 - 1 + 382 - 1), NA())</f>
        <v>#N/A</v>
      </c>
    </row>
    <row r="384" spans="16:18">
      <c r="P384" s="1" t="e">
        <f ca="1">IF(383&lt;=$I$8, INDEX('Precios Diarios'!$A$2:$A$463, $G$8 - 1 + 383 - 1), NA())</f>
        <v>#N/A</v>
      </c>
      <c r="Q384" t="e">
        <f ca="1">IF(383&lt;=$I$8, INDEX('Precios Diarios'!$E$2:$E$463, $G$8 - 1 + 383 - 1), NA())</f>
        <v>#N/A</v>
      </c>
      <c r="R384" t="e">
        <f ca="1">IF(383&lt;=$I$8, INDEX('Precios Diarios'!$F$2:$F$463, $G$8 - 1 + 383 - 1), NA())</f>
        <v>#N/A</v>
      </c>
    </row>
    <row r="385" spans="16:18">
      <c r="P385" s="1" t="e">
        <f ca="1">IF(384&lt;=$I$8, INDEX('Precios Diarios'!$A$2:$A$463, $G$8 - 1 + 384 - 1), NA())</f>
        <v>#N/A</v>
      </c>
      <c r="Q385" t="e">
        <f ca="1">IF(384&lt;=$I$8, INDEX('Precios Diarios'!$E$2:$E$463, $G$8 - 1 + 384 - 1), NA())</f>
        <v>#N/A</v>
      </c>
      <c r="R385" t="e">
        <f ca="1">IF(384&lt;=$I$8, INDEX('Precios Diarios'!$F$2:$F$463, $G$8 - 1 + 384 - 1), NA())</f>
        <v>#N/A</v>
      </c>
    </row>
    <row r="386" spans="16:18">
      <c r="P386" s="1" t="e">
        <f ca="1">IF(385&lt;=$I$8, INDEX('Precios Diarios'!$A$2:$A$463, $G$8 - 1 + 385 - 1), NA())</f>
        <v>#N/A</v>
      </c>
      <c r="Q386" t="e">
        <f ca="1">IF(385&lt;=$I$8, INDEX('Precios Diarios'!$E$2:$E$463, $G$8 - 1 + 385 - 1), NA())</f>
        <v>#N/A</v>
      </c>
      <c r="R386" t="e">
        <f ca="1">IF(385&lt;=$I$8, INDEX('Precios Diarios'!$F$2:$F$463, $G$8 - 1 + 385 - 1), NA())</f>
        <v>#N/A</v>
      </c>
    </row>
    <row r="387" spans="16:18">
      <c r="P387" s="1" t="e">
        <f ca="1">IF(386&lt;=$I$8, INDEX('Precios Diarios'!$A$2:$A$463, $G$8 - 1 + 386 - 1), NA())</f>
        <v>#N/A</v>
      </c>
      <c r="Q387" t="e">
        <f ca="1">IF(386&lt;=$I$8, INDEX('Precios Diarios'!$E$2:$E$463, $G$8 - 1 + 386 - 1), NA())</f>
        <v>#N/A</v>
      </c>
      <c r="R387" t="e">
        <f ca="1">IF(386&lt;=$I$8, INDEX('Precios Diarios'!$F$2:$F$463, $G$8 - 1 + 386 - 1), NA())</f>
        <v>#N/A</v>
      </c>
    </row>
    <row r="388" spans="16:18">
      <c r="P388" s="1" t="e">
        <f ca="1">IF(387&lt;=$I$8, INDEX('Precios Diarios'!$A$2:$A$463, $G$8 - 1 + 387 - 1), NA())</f>
        <v>#N/A</v>
      </c>
      <c r="Q388" t="e">
        <f ca="1">IF(387&lt;=$I$8, INDEX('Precios Diarios'!$E$2:$E$463, $G$8 - 1 + 387 - 1), NA())</f>
        <v>#N/A</v>
      </c>
      <c r="R388" t="e">
        <f ca="1">IF(387&lt;=$I$8, INDEX('Precios Diarios'!$F$2:$F$463, $G$8 - 1 + 387 - 1), NA())</f>
        <v>#N/A</v>
      </c>
    </row>
    <row r="389" spans="16:18">
      <c r="P389" s="1" t="e">
        <f ca="1">IF(388&lt;=$I$8, INDEX('Precios Diarios'!$A$2:$A$463, $G$8 - 1 + 388 - 1), NA())</f>
        <v>#N/A</v>
      </c>
      <c r="Q389" t="e">
        <f ca="1">IF(388&lt;=$I$8, INDEX('Precios Diarios'!$E$2:$E$463, $G$8 - 1 + 388 - 1), NA())</f>
        <v>#N/A</v>
      </c>
      <c r="R389" t="e">
        <f ca="1">IF(388&lt;=$I$8, INDEX('Precios Diarios'!$F$2:$F$463, $G$8 - 1 + 388 - 1), NA())</f>
        <v>#N/A</v>
      </c>
    </row>
    <row r="390" spans="16:18">
      <c r="P390" s="1" t="e">
        <f ca="1">IF(389&lt;=$I$8, INDEX('Precios Diarios'!$A$2:$A$463, $G$8 - 1 + 389 - 1), NA())</f>
        <v>#N/A</v>
      </c>
      <c r="Q390" t="e">
        <f ca="1">IF(389&lt;=$I$8, INDEX('Precios Diarios'!$E$2:$E$463, $G$8 - 1 + 389 - 1), NA())</f>
        <v>#N/A</v>
      </c>
      <c r="R390" t="e">
        <f ca="1">IF(389&lt;=$I$8, INDEX('Precios Diarios'!$F$2:$F$463, $G$8 - 1 + 389 - 1), NA())</f>
        <v>#N/A</v>
      </c>
    </row>
    <row r="391" spans="16:18">
      <c r="P391" s="1" t="e">
        <f ca="1">IF(390&lt;=$I$8, INDEX('Precios Diarios'!$A$2:$A$463, $G$8 - 1 + 390 - 1), NA())</f>
        <v>#N/A</v>
      </c>
      <c r="Q391" t="e">
        <f ca="1">IF(390&lt;=$I$8, INDEX('Precios Diarios'!$E$2:$E$463, $G$8 - 1 + 390 - 1), NA())</f>
        <v>#N/A</v>
      </c>
      <c r="R391" t="e">
        <f ca="1">IF(390&lt;=$I$8, INDEX('Precios Diarios'!$F$2:$F$463, $G$8 - 1 + 390 - 1), NA())</f>
        <v>#N/A</v>
      </c>
    </row>
    <row r="392" spans="16:18">
      <c r="P392" s="1" t="e">
        <f ca="1">IF(391&lt;=$I$8, INDEX('Precios Diarios'!$A$2:$A$463, $G$8 - 1 + 391 - 1), NA())</f>
        <v>#N/A</v>
      </c>
      <c r="Q392" t="e">
        <f ca="1">IF(391&lt;=$I$8, INDEX('Precios Diarios'!$E$2:$E$463, $G$8 - 1 + 391 - 1), NA())</f>
        <v>#N/A</v>
      </c>
      <c r="R392" t="e">
        <f ca="1">IF(391&lt;=$I$8, INDEX('Precios Diarios'!$F$2:$F$463, $G$8 - 1 + 391 - 1), NA())</f>
        <v>#N/A</v>
      </c>
    </row>
    <row r="393" spans="16:18">
      <c r="P393" s="1" t="e">
        <f ca="1">IF(392&lt;=$I$8, INDEX('Precios Diarios'!$A$2:$A$463, $G$8 - 1 + 392 - 1), NA())</f>
        <v>#N/A</v>
      </c>
      <c r="Q393" t="e">
        <f ca="1">IF(392&lt;=$I$8, INDEX('Precios Diarios'!$E$2:$E$463, $G$8 - 1 + 392 - 1), NA())</f>
        <v>#N/A</v>
      </c>
      <c r="R393" t="e">
        <f ca="1">IF(392&lt;=$I$8, INDEX('Precios Diarios'!$F$2:$F$463, $G$8 - 1 + 392 - 1), NA())</f>
        <v>#N/A</v>
      </c>
    </row>
    <row r="394" spans="16:18">
      <c r="P394" s="1" t="e">
        <f ca="1">IF(393&lt;=$I$8, INDEX('Precios Diarios'!$A$2:$A$463, $G$8 - 1 + 393 - 1), NA())</f>
        <v>#N/A</v>
      </c>
      <c r="Q394" t="e">
        <f ca="1">IF(393&lt;=$I$8, INDEX('Precios Diarios'!$E$2:$E$463, $G$8 - 1 + 393 - 1), NA())</f>
        <v>#N/A</v>
      </c>
      <c r="R394" t="e">
        <f ca="1">IF(393&lt;=$I$8, INDEX('Precios Diarios'!$F$2:$F$463, $G$8 - 1 + 393 - 1), NA())</f>
        <v>#N/A</v>
      </c>
    </row>
    <row r="395" spans="16:18">
      <c r="P395" s="1" t="e">
        <f ca="1">IF(394&lt;=$I$8, INDEX('Precios Diarios'!$A$2:$A$463, $G$8 - 1 + 394 - 1), NA())</f>
        <v>#N/A</v>
      </c>
      <c r="Q395" t="e">
        <f ca="1">IF(394&lt;=$I$8, INDEX('Precios Diarios'!$E$2:$E$463, $G$8 - 1 + 394 - 1), NA())</f>
        <v>#N/A</v>
      </c>
      <c r="R395" t="e">
        <f ca="1">IF(394&lt;=$I$8, INDEX('Precios Diarios'!$F$2:$F$463, $G$8 - 1 + 394 - 1), NA())</f>
        <v>#N/A</v>
      </c>
    </row>
    <row r="396" spans="16:18">
      <c r="P396" s="1" t="e">
        <f ca="1">IF(395&lt;=$I$8, INDEX('Precios Diarios'!$A$2:$A$463, $G$8 - 1 + 395 - 1), NA())</f>
        <v>#N/A</v>
      </c>
      <c r="Q396" t="e">
        <f ca="1">IF(395&lt;=$I$8, INDEX('Precios Diarios'!$E$2:$E$463, $G$8 - 1 + 395 - 1), NA())</f>
        <v>#N/A</v>
      </c>
      <c r="R396" t="e">
        <f ca="1">IF(395&lt;=$I$8, INDEX('Precios Diarios'!$F$2:$F$463, $G$8 - 1 + 395 - 1), NA())</f>
        <v>#N/A</v>
      </c>
    </row>
    <row r="397" spans="16:18">
      <c r="P397" s="1" t="e">
        <f ca="1">IF(396&lt;=$I$8, INDEX('Precios Diarios'!$A$2:$A$463, $G$8 - 1 + 396 - 1), NA())</f>
        <v>#N/A</v>
      </c>
      <c r="Q397" t="e">
        <f ca="1">IF(396&lt;=$I$8, INDEX('Precios Diarios'!$E$2:$E$463, $G$8 - 1 + 396 - 1), NA())</f>
        <v>#N/A</v>
      </c>
      <c r="R397" t="e">
        <f ca="1">IF(396&lt;=$I$8, INDEX('Precios Diarios'!$F$2:$F$463, $G$8 - 1 + 396 - 1), NA())</f>
        <v>#N/A</v>
      </c>
    </row>
    <row r="398" spans="16:18">
      <c r="P398" s="1" t="e">
        <f ca="1">IF(397&lt;=$I$8, INDEX('Precios Diarios'!$A$2:$A$463, $G$8 - 1 + 397 - 1), NA())</f>
        <v>#N/A</v>
      </c>
      <c r="Q398" t="e">
        <f ca="1">IF(397&lt;=$I$8, INDEX('Precios Diarios'!$E$2:$E$463, $G$8 - 1 + 397 - 1), NA())</f>
        <v>#N/A</v>
      </c>
      <c r="R398" t="e">
        <f ca="1">IF(397&lt;=$I$8, INDEX('Precios Diarios'!$F$2:$F$463, $G$8 - 1 + 397 - 1), NA())</f>
        <v>#N/A</v>
      </c>
    </row>
    <row r="399" spans="16:18">
      <c r="P399" s="1" t="e">
        <f ca="1">IF(398&lt;=$I$8, INDEX('Precios Diarios'!$A$2:$A$463, $G$8 - 1 + 398 - 1), NA())</f>
        <v>#N/A</v>
      </c>
      <c r="Q399" t="e">
        <f ca="1">IF(398&lt;=$I$8, INDEX('Precios Diarios'!$E$2:$E$463, $G$8 - 1 + 398 - 1), NA())</f>
        <v>#N/A</v>
      </c>
      <c r="R399" t="e">
        <f ca="1">IF(398&lt;=$I$8, INDEX('Precios Diarios'!$F$2:$F$463, $G$8 - 1 + 398 - 1), NA())</f>
        <v>#N/A</v>
      </c>
    </row>
    <row r="400" spans="16:18">
      <c r="P400" s="1" t="e">
        <f ca="1">IF(399&lt;=$I$8, INDEX('Precios Diarios'!$A$2:$A$463, $G$8 - 1 + 399 - 1), NA())</f>
        <v>#N/A</v>
      </c>
      <c r="Q400" t="e">
        <f ca="1">IF(399&lt;=$I$8, INDEX('Precios Diarios'!$E$2:$E$463, $G$8 - 1 + 399 - 1), NA())</f>
        <v>#N/A</v>
      </c>
      <c r="R400" t="e">
        <f ca="1">IF(399&lt;=$I$8, INDEX('Precios Diarios'!$F$2:$F$463, $G$8 - 1 + 399 - 1), NA())</f>
        <v>#N/A</v>
      </c>
    </row>
    <row r="401" spans="16:18">
      <c r="P401" s="1" t="e">
        <f ca="1">IF(400&lt;=$I$8, INDEX('Precios Diarios'!$A$2:$A$463, $G$8 - 1 + 400 - 1), NA())</f>
        <v>#N/A</v>
      </c>
      <c r="Q401" t="e">
        <f ca="1">IF(400&lt;=$I$8, INDEX('Precios Diarios'!$E$2:$E$463, $G$8 - 1 + 400 - 1), NA())</f>
        <v>#N/A</v>
      </c>
      <c r="R401" t="e">
        <f ca="1">IF(400&lt;=$I$8, INDEX('Precios Diarios'!$F$2:$F$463, $G$8 - 1 + 400 - 1), NA())</f>
        <v>#N/A</v>
      </c>
    </row>
    <row r="402" spans="16:18">
      <c r="P402" s="1" t="e">
        <f ca="1">IF(401&lt;=$I$8, INDEX('Precios Diarios'!$A$2:$A$463, $G$8 - 1 + 401 - 1), NA())</f>
        <v>#N/A</v>
      </c>
      <c r="Q402" t="e">
        <f ca="1">IF(401&lt;=$I$8, INDEX('Precios Diarios'!$E$2:$E$463, $G$8 - 1 + 401 - 1), NA())</f>
        <v>#N/A</v>
      </c>
      <c r="R402" t="e">
        <f ca="1">IF(401&lt;=$I$8, INDEX('Precios Diarios'!$F$2:$F$463, $G$8 - 1 + 401 - 1), NA())</f>
        <v>#N/A</v>
      </c>
    </row>
    <row r="403" spans="16:18">
      <c r="P403" s="1" t="e">
        <f ca="1">IF(402&lt;=$I$8, INDEX('Precios Diarios'!$A$2:$A$463, $G$8 - 1 + 402 - 1), NA())</f>
        <v>#N/A</v>
      </c>
      <c r="Q403" t="e">
        <f ca="1">IF(402&lt;=$I$8, INDEX('Precios Diarios'!$E$2:$E$463, $G$8 - 1 + 402 - 1), NA())</f>
        <v>#N/A</v>
      </c>
      <c r="R403" t="e">
        <f ca="1">IF(402&lt;=$I$8, INDEX('Precios Diarios'!$F$2:$F$463, $G$8 - 1 + 402 - 1), NA())</f>
        <v>#N/A</v>
      </c>
    </row>
    <row r="404" spans="16:18">
      <c r="P404" s="1" t="e">
        <f ca="1">IF(403&lt;=$I$8, INDEX('Precios Diarios'!$A$2:$A$463, $G$8 - 1 + 403 - 1), NA())</f>
        <v>#N/A</v>
      </c>
      <c r="Q404" t="e">
        <f ca="1">IF(403&lt;=$I$8, INDEX('Precios Diarios'!$E$2:$E$463, $G$8 - 1 + 403 - 1), NA())</f>
        <v>#N/A</v>
      </c>
      <c r="R404" t="e">
        <f ca="1">IF(403&lt;=$I$8, INDEX('Precios Diarios'!$F$2:$F$463, $G$8 - 1 + 403 - 1), NA())</f>
        <v>#N/A</v>
      </c>
    </row>
    <row r="405" spans="16:18">
      <c r="P405" s="1" t="e">
        <f ca="1">IF(404&lt;=$I$8, INDEX('Precios Diarios'!$A$2:$A$463, $G$8 - 1 + 404 - 1), NA())</f>
        <v>#N/A</v>
      </c>
      <c r="Q405" t="e">
        <f ca="1">IF(404&lt;=$I$8, INDEX('Precios Diarios'!$E$2:$E$463, $G$8 - 1 + 404 - 1), NA())</f>
        <v>#N/A</v>
      </c>
      <c r="R405" t="e">
        <f ca="1">IF(404&lt;=$I$8, INDEX('Precios Diarios'!$F$2:$F$463, $G$8 - 1 + 404 - 1), NA())</f>
        <v>#N/A</v>
      </c>
    </row>
    <row r="406" spans="16:18">
      <c r="P406" s="1" t="e">
        <f ca="1">IF(405&lt;=$I$8, INDEX('Precios Diarios'!$A$2:$A$463, $G$8 - 1 + 405 - 1), NA())</f>
        <v>#N/A</v>
      </c>
      <c r="Q406" t="e">
        <f ca="1">IF(405&lt;=$I$8, INDEX('Precios Diarios'!$E$2:$E$463, $G$8 - 1 + 405 - 1), NA())</f>
        <v>#N/A</v>
      </c>
      <c r="R406" t="e">
        <f ca="1">IF(405&lt;=$I$8, INDEX('Precios Diarios'!$F$2:$F$463, $G$8 - 1 + 405 - 1), NA())</f>
        <v>#N/A</v>
      </c>
    </row>
    <row r="407" spans="16:18">
      <c r="P407" s="1" t="e">
        <f ca="1">IF(406&lt;=$I$8, INDEX('Precios Diarios'!$A$2:$A$463, $G$8 - 1 + 406 - 1), NA())</f>
        <v>#N/A</v>
      </c>
      <c r="Q407" t="e">
        <f ca="1">IF(406&lt;=$I$8, INDEX('Precios Diarios'!$E$2:$E$463, $G$8 - 1 + 406 - 1), NA())</f>
        <v>#N/A</v>
      </c>
      <c r="R407" t="e">
        <f ca="1">IF(406&lt;=$I$8, INDEX('Precios Diarios'!$F$2:$F$463, $G$8 - 1 + 406 - 1), NA())</f>
        <v>#N/A</v>
      </c>
    </row>
    <row r="408" spans="16:18">
      <c r="P408" s="1" t="e">
        <f ca="1">IF(407&lt;=$I$8, INDEX('Precios Diarios'!$A$2:$A$463, $G$8 - 1 + 407 - 1), NA())</f>
        <v>#N/A</v>
      </c>
      <c r="Q408" t="e">
        <f ca="1">IF(407&lt;=$I$8, INDEX('Precios Diarios'!$E$2:$E$463, $G$8 - 1 + 407 - 1), NA())</f>
        <v>#N/A</v>
      </c>
      <c r="R408" t="e">
        <f ca="1">IF(407&lt;=$I$8, INDEX('Precios Diarios'!$F$2:$F$463, $G$8 - 1 + 407 - 1), NA())</f>
        <v>#N/A</v>
      </c>
    </row>
    <row r="409" spans="16:18">
      <c r="P409" s="1" t="e">
        <f ca="1">IF(408&lt;=$I$8, INDEX('Precios Diarios'!$A$2:$A$463, $G$8 - 1 + 408 - 1), NA())</f>
        <v>#N/A</v>
      </c>
      <c r="Q409" t="e">
        <f ca="1">IF(408&lt;=$I$8, INDEX('Precios Diarios'!$E$2:$E$463, $G$8 - 1 + 408 - 1), NA())</f>
        <v>#N/A</v>
      </c>
      <c r="R409" t="e">
        <f ca="1">IF(408&lt;=$I$8, INDEX('Precios Diarios'!$F$2:$F$463, $G$8 - 1 + 408 - 1), NA())</f>
        <v>#N/A</v>
      </c>
    </row>
    <row r="410" spans="16:18">
      <c r="P410" s="1" t="e">
        <f ca="1">IF(409&lt;=$I$8, INDEX('Precios Diarios'!$A$2:$A$463, $G$8 - 1 + 409 - 1), NA())</f>
        <v>#N/A</v>
      </c>
      <c r="Q410" t="e">
        <f ca="1">IF(409&lt;=$I$8, INDEX('Precios Diarios'!$E$2:$E$463, $G$8 - 1 + 409 - 1), NA())</f>
        <v>#N/A</v>
      </c>
      <c r="R410" t="e">
        <f ca="1">IF(409&lt;=$I$8, INDEX('Precios Diarios'!$F$2:$F$463, $G$8 - 1 + 409 - 1), NA())</f>
        <v>#N/A</v>
      </c>
    </row>
    <row r="411" spans="16:18">
      <c r="P411" s="1" t="e">
        <f ca="1">IF(410&lt;=$I$8, INDEX('Precios Diarios'!$A$2:$A$463, $G$8 - 1 + 410 - 1), NA())</f>
        <v>#N/A</v>
      </c>
      <c r="Q411" t="e">
        <f ca="1">IF(410&lt;=$I$8, INDEX('Precios Diarios'!$E$2:$E$463, $G$8 - 1 + 410 - 1), NA())</f>
        <v>#N/A</v>
      </c>
      <c r="R411" t="e">
        <f ca="1">IF(410&lt;=$I$8, INDEX('Precios Diarios'!$F$2:$F$463, $G$8 - 1 + 410 - 1), NA())</f>
        <v>#N/A</v>
      </c>
    </row>
    <row r="412" spans="16:18">
      <c r="P412" s="1" t="e">
        <f ca="1">IF(411&lt;=$I$8, INDEX('Precios Diarios'!$A$2:$A$463, $G$8 - 1 + 411 - 1), NA())</f>
        <v>#N/A</v>
      </c>
      <c r="Q412" t="e">
        <f ca="1">IF(411&lt;=$I$8, INDEX('Precios Diarios'!$E$2:$E$463, $G$8 - 1 + 411 - 1), NA())</f>
        <v>#N/A</v>
      </c>
      <c r="R412" t="e">
        <f ca="1">IF(411&lt;=$I$8, INDEX('Precios Diarios'!$F$2:$F$463, $G$8 - 1 + 411 - 1), NA())</f>
        <v>#N/A</v>
      </c>
    </row>
    <row r="413" spans="16:18">
      <c r="P413" s="1" t="e">
        <f ca="1">IF(412&lt;=$I$8, INDEX('Precios Diarios'!$A$2:$A$463, $G$8 - 1 + 412 - 1), NA())</f>
        <v>#N/A</v>
      </c>
      <c r="Q413" t="e">
        <f ca="1">IF(412&lt;=$I$8, INDEX('Precios Diarios'!$E$2:$E$463, $G$8 - 1 + 412 - 1), NA())</f>
        <v>#N/A</v>
      </c>
      <c r="R413" t="e">
        <f ca="1">IF(412&lt;=$I$8, INDEX('Precios Diarios'!$F$2:$F$463, $G$8 - 1 + 412 - 1), NA())</f>
        <v>#N/A</v>
      </c>
    </row>
    <row r="414" spans="16:18">
      <c r="P414" s="1" t="e">
        <f ca="1">IF(413&lt;=$I$8, INDEX('Precios Diarios'!$A$2:$A$463, $G$8 - 1 + 413 - 1), NA())</f>
        <v>#N/A</v>
      </c>
      <c r="Q414" t="e">
        <f ca="1">IF(413&lt;=$I$8, INDEX('Precios Diarios'!$E$2:$E$463, $G$8 - 1 + 413 - 1), NA())</f>
        <v>#N/A</v>
      </c>
      <c r="R414" t="e">
        <f ca="1">IF(413&lt;=$I$8, INDEX('Precios Diarios'!$F$2:$F$463, $G$8 - 1 + 413 - 1), NA())</f>
        <v>#N/A</v>
      </c>
    </row>
    <row r="415" spans="16:18">
      <c r="P415" s="1" t="e">
        <f ca="1">IF(414&lt;=$I$8, INDEX('Precios Diarios'!$A$2:$A$463, $G$8 - 1 + 414 - 1), NA())</f>
        <v>#N/A</v>
      </c>
      <c r="Q415" t="e">
        <f ca="1">IF(414&lt;=$I$8, INDEX('Precios Diarios'!$E$2:$E$463, $G$8 - 1 + 414 - 1), NA())</f>
        <v>#N/A</v>
      </c>
      <c r="R415" t="e">
        <f ca="1">IF(414&lt;=$I$8, INDEX('Precios Diarios'!$F$2:$F$463, $G$8 - 1 + 414 - 1), NA())</f>
        <v>#N/A</v>
      </c>
    </row>
    <row r="416" spans="16:18">
      <c r="P416" s="1" t="e">
        <f ca="1">IF(415&lt;=$I$8, INDEX('Precios Diarios'!$A$2:$A$463, $G$8 - 1 + 415 - 1), NA())</f>
        <v>#N/A</v>
      </c>
      <c r="Q416" t="e">
        <f ca="1">IF(415&lt;=$I$8, INDEX('Precios Diarios'!$E$2:$E$463, $G$8 - 1 + 415 - 1), NA())</f>
        <v>#N/A</v>
      </c>
      <c r="R416" t="e">
        <f ca="1">IF(415&lt;=$I$8, INDEX('Precios Diarios'!$F$2:$F$463, $G$8 - 1 + 415 - 1), NA())</f>
        <v>#N/A</v>
      </c>
    </row>
    <row r="417" spans="16:18">
      <c r="P417" s="1" t="e">
        <f ca="1">IF(416&lt;=$I$8, INDEX('Precios Diarios'!$A$2:$A$463, $G$8 - 1 + 416 - 1), NA())</f>
        <v>#N/A</v>
      </c>
      <c r="Q417" t="e">
        <f ca="1">IF(416&lt;=$I$8, INDEX('Precios Diarios'!$E$2:$E$463, $G$8 - 1 + 416 - 1), NA())</f>
        <v>#N/A</v>
      </c>
      <c r="R417" t="e">
        <f ca="1">IF(416&lt;=$I$8, INDEX('Precios Diarios'!$F$2:$F$463, $G$8 - 1 + 416 - 1), NA())</f>
        <v>#N/A</v>
      </c>
    </row>
    <row r="418" spans="16:18">
      <c r="P418" s="1" t="e">
        <f ca="1">IF(417&lt;=$I$8, INDEX('Precios Diarios'!$A$2:$A$463, $G$8 - 1 + 417 - 1), NA())</f>
        <v>#N/A</v>
      </c>
      <c r="Q418" t="e">
        <f ca="1">IF(417&lt;=$I$8, INDEX('Precios Diarios'!$E$2:$E$463, $G$8 - 1 + 417 - 1), NA())</f>
        <v>#N/A</v>
      </c>
      <c r="R418" t="e">
        <f ca="1">IF(417&lt;=$I$8, INDEX('Precios Diarios'!$F$2:$F$463, $G$8 - 1 + 417 - 1), NA())</f>
        <v>#N/A</v>
      </c>
    </row>
    <row r="419" spans="16:18">
      <c r="P419" s="1" t="e">
        <f ca="1">IF(418&lt;=$I$8, INDEX('Precios Diarios'!$A$2:$A$463, $G$8 - 1 + 418 - 1), NA())</f>
        <v>#N/A</v>
      </c>
      <c r="Q419" t="e">
        <f ca="1">IF(418&lt;=$I$8, INDEX('Precios Diarios'!$E$2:$E$463, $G$8 - 1 + 418 - 1), NA())</f>
        <v>#N/A</v>
      </c>
      <c r="R419" t="e">
        <f ca="1">IF(418&lt;=$I$8, INDEX('Precios Diarios'!$F$2:$F$463, $G$8 - 1 + 418 - 1), NA())</f>
        <v>#N/A</v>
      </c>
    </row>
    <row r="420" spans="16:18">
      <c r="P420" s="1" t="e">
        <f ca="1">IF(419&lt;=$I$8, INDEX('Precios Diarios'!$A$2:$A$463, $G$8 - 1 + 419 - 1), NA())</f>
        <v>#N/A</v>
      </c>
      <c r="Q420" t="e">
        <f ca="1">IF(419&lt;=$I$8, INDEX('Precios Diarios'!$E$2:$E$463, $G$8 - 1 + 419 - 1), NA())</f>
        <v>#N/A</v>
      </c>
      <c r="R420" t="e">
        <f ca="1">IF(419&lt;=$I$8, INDEX('Precios Diarios'!$F$2:$F$463, $G$8 - 1 + 419 - 1), NA())</f>
        <v>#N/A</v>
      </c>
    </row>
    <row r="421" spans="16:18">
      <c r="P421" s="1" t="e">
        <f ca="1">IF(420&lt;=$I$8, INDEX('Precios Diarios'!$A$2:$A$463, $G$8 - 1 + 420 - 1), NA())</f>
        <v>#N/A</v>
      </c>
      <c r="Q421" t="e">
        <f ca="1">IF(420&lt;=$I$8, INDEX('Precios Diarios'!$E$2:$E$463, $G$8 - 1 + 420 - 1), NA())</f>
        <v>#N/A</v>
      </c>
      <c r="R421" t="e">
        <f ca="1">IF(420&lt;=$I$8, INDEX('Precios Diarios'!$F$2:$F$463, $G$8 - 1 + 420 - 1), NA())</f>
        <v>#N/A</v>
      </c>
    </row>
    <row r="422" spans="16:18">
      <c r="P422" s="1" t="e">
        <f ca="1">IF(421&lt;=$I$8, INDEX('Precios Diarios'!$A$2:$A$463, $G$8 - 1 + 421 - 1), NA())</f>
        <v>#N/A</v>
      </c>
      <c r="Q422" t="e">
        <f ca="1">IF(421&lt;=$I$8, INDEX('Precios Diarios'!$E$2:$E$463, $G$8 - 1 + 421 - 1), NA())</f>
        <v>#N/A</v>
      </c>
      <c r="R422" t="e">
        <f ca="1">IF(421&lt;=$I$8, INDEX('Precios Diarios'!$F$2:$F$463, $G$8 - 1 + 421 - 1), NA())</f>
        <v>#N/A</v>
      </c>
    </row>
    <row r="423" spans="16:18">
      <c r="P423" s="1" t="e">
        <f ca="1">IF(422&lt;=$I$8, INDEX('Precios Diarios'!$A$2:$A$463, $G$8 - 1 + 422 - 1), NA())</f>
        <v>#N/A</v>
      </c>
      <c r="Q423" t="e">
        <f ca="1">IF(422&lt;=$I$8, INDEX('Precios Diarios'!$E$2:$E$463, $G$8 - 1 + 422 - 1), NA())</f>
        <v>#N/A</v>
      </c>
      <c r="R423" t="e">
        <f ca="1">IF(422&lt;=$I$8, INDEX('Precios Diarios'!$F$2:$F$463, $G$8 - 1 + 422 - 1), NA())</f>
        <v>#N/A</v>
      </c>
    </row>
    <row r="424" spans="16:18">
      <c r="P424" s="1" t="e">
        <f ca="1">IF(423&lt;=$I$8, INDEX('Precios Diarios'!$A$2:$A$463, $G$8 - 1 + 423 - 1), NA())</f>
        <v>#N/A</v>
      </c>
      <c r="Q424" t="e">
        <f ca="1">IF(423&lt;=$I$8, INDEX('Precios Diarios'!$E$2:$E$463, $G$8 - 1 + 423 - 1), NA())</f>
        <v>#N/A</v>
      </c>
      <c r="R424" t="e">
        <f ca="1">IF(423&lt;=$I$8, INDEX('Precios Diarios'!$F$2:$F$463, $G$8 - 1 + 423 - 1), NA())</f>
        <v>#N/A</v>
      </c>
    </row>
    <row r="425" spans="16:18">
      <c r="P425" s="1" t="e">
        <f ca="1">IF(424&lt;=$I$8, INDEX('Precios Diarios'!$A$2:$A$463, $G$8 - 1 + 424 - 1), NA())</f>
        <v>#N/A</v>
      </c>
      <c r="Q425" t="e">
        <f ca="1">IF(424&lt;=$I$8, INDEX('Precios Diarios'!$E$2:$E$463, $G$8 - 1 + 424 - 1), NA())</f>
        <v>#N/A</v>
      </c>
      <c r="R425" t="e">
        <f ca="1">IF(424&lt;=$I$8, INDEX('Precios Diarios'!$F$2:$F$463, $G$8 - 1 + 424 - 1), NA())</f>
        <v>#N/A</v>
      </c>
    </row>
    <row r="426" spans="16:18">
      <c r="P426" s="1" t="e">
        <f ca="1">IF(425&lt;=$I$8, INDEX('Precios Diarios'!$A$2:$A$463, $G$8 - 1 + 425 - 1), NA())</f>
        <v>#N/A</v>
      </c>
      <c r="Q426" t="e">
        <f ca="1">IF(425&lt;=$I$8, INDEX('Precios Diarios'!$E$2:$E$463, $G$8 - 1 + 425 - 1), NA())</f>
        <v>#N/A</v>
      </c>
      <c r="R426" t="e">
        <f ca="1">IF(425&lt;=$I$8, INDEX('Precios Diarios'!$F$2:$F$463, $G$8 - 1 + 425 - 1), NA())</f>
        <v>#N/A</v>
      </c>
    </row>
    <row r="427" spans="16:18">
      <c r="P427" s="1" t="e">
        <f ca="1">IF(426&lt;=$I$8, INDEX('Precios Diarios'!$A$2:$A$463, $G$8 - 1 + 426 - 1), NA())</f>
        <v>#N/A</v>
      </c>
      <c r="Q427" t="e">
        <f ca="1">IF(426&lt;=$I$8, INDEX('Precios Diarios'!$E$2:$E$463, $G$8 - 1 + 426 - 1), NA())</f>
        <v>#N/A</v>
      </c>
      <c r="R427" t="e">
        <f ca="1">IF(426&lt;=$I$8, INDEX('Precios Diarios'!$F$2:$F$463, $G$8 - 1 + 426 - 1), NA())</f>
        <v>#N/A</v>
      </c>
    </row>
    <row r="428" spans="16:18">
      <c r="P428" s="1" t="e">
        <f ca="1">IF(427&lt;=$I$8, INDEX('Precios Diarios'!$A$2:$A$463, $G$8 - 1 + 427 - 1), NA())</f>
        <v>#N/A</v>
      </c>
      <c r="Q428" t="e">
        <f ca="1">IF(427&lt;=$I$8, INDEX('Precios Diarios'!$E$2:$E$463, $G$8 - 1 + 427 - 1), NA())</f>
        <v>#N/A</v>
      </c>
      <c r="R428" t="e">
        <f ca="1">IF(427&lt;=$I$8, INDEX('Precios Diarios'!$F$2:$F$463, $G$8 - 1 + 427 - 1), NA())</f>
        <v>#N/A</v>
      </c>
    </row>
    <row r="429" spans="16:18">
      <c r="P429" s="1" t="e">
        <f ca="1">IF(428&lt;=$I$8, INDEX('Precios Diarios'!$A$2:$A$463, $G$8 - 1 + 428 - 1), NA())</f>
        <v>#N/A</v>
      </c>
      <c r="Q429" t="e">
        <f ca="1">IF(428&lt;=$I$8, INDEX('Precios Diarios'!$E$2:$E$463, $G$8 - 1 + 428 - 1), NA())</f>
        <v>#N/A</v>
      </c>
      <c r="R429" t="e">
        <f ca="1">IF(428&lt;=$I$8, INDEX('Precios Diarios'!$F$2:$F$463, $G$8 - 1 + 428 - 1), NA())</f>
        <v>#N/A</v>
      </c>
    </row>
    <row r="430" spans="16:18">
      <c r="P430" s="1" t="e">
        <f ca="1">IF(429&lt;=$I$8, INDEX('Precios Diarios'!$A$2:$A$463, $G$8 - 1 + 429 - 1), NA())</f>
        <v>#N/A</v>
      </c>
      <c r="Q430" t="e">
        <f ca="1">IF(429&lt;=$I$8, INDEX('Precios Diarios'!$E$2:$E$463, $G$8 - 1 + 429 - 1), NA())</f>
        <v>#N/A</v>
      </c>
      <c r="R430" t="e">
        <f ca="1">IF(429&lt;=$I$8, INDEX('Precios Diarios'!$F$2:$F$463, $G$8 - 1 + 429 - 1), NA())</f>
        <v>#N/A</v>
      </c>
    </row>
    <row r="431" spans="16:18">
      <c r="P431" s="1" t="e">
        <f ca="1">IF(430&lt;=$I$8, INDEX('Precios Diarios'!$A$2:$A$463, $G$8 - 1 + 430 - 1), NA())</f>
        <v>#N/A</v>
      </c>
      <c r="Q431" t="e">
        <f ca="1">IF(430&lt;=$I$8, INDEX('Precios Diarios'!$E$2:$E$463, $G$8 - 1 + 430 - 1), NA())</f>
        <v>#N/A</v>
      </c>
      <c r="R431" t="e">
        <f ca="1">IF(430&lt;=$I$8, INDEX('Precios Diarios'!$F$2:$F$463, $G$8 - 1 + 430 - 1), NA())</f>
        <v>#N/A</v>
      </c>
    </row>
    <row r="432" spans="16:18">
      <c r="P432" s="1" t="e">
        <f ca="1">IF(431&lt;=$I$8, INDEX('Precios Diarios'!$A$2:$A$463, $G$8 - 1 + 431 - 1), NA())</f>
        <v>#N/A</v>
      </c>
      <c r="Q432" t="e">
        <f ca="1">IF(431&lt;=$I$8, INDEX('Precios Diarios'!$E$2:$E$463, $G$8 - 1 + 431 - 1), NA())</f>
        <v>#N/A</v>
      </c>
      <c r="R432" t="e">
        <f ca="1">IF(431&lt;=$I$8, INDEX('Precios Diarios'!$F$2:$F$463, $G$8 - 1 + 431 - 1), NA())</f>
        <v>#N/A</v>
      </c>
    </row>
    <row r="433" spans="16:18">
      <c r="P433" s="1" t="e">
        <f ca="1">IF(432&lt;=$I$8, INDEX('Precios Diarios'!$A$2:$A$463, $G$8 - 1 + 432 - 1), NA())</f>
        <v>#N/A</v>
      </c>
      <c r="Q433" t="e">
        <f ca="1">IF(432&lt;=$I$8, INDEX('Precios Diarios'!$E$2:$E$463, $G$8 - 1 + 432 - 1), NA())</f>
        <v>#N/A</v>
      </c>
      <c r="R433" t="e">
        <f ca="1">IF(432&lt;=$I$8, INDEX('Precios Diarios'!$F$2:$F$463, $G$8 - 1 + 432 - 1), NA())</f>
        <v>#N/A</v>
      </c>
    </row>
    <row r="434" spans="16:18">
      <c r="P434" s="1" t="e">
        <f ca="1">IF(433&lt;=$I$8, INDEX('Precios Diarios'!$A$2:$A$463, $G$8 - 1 + 433 - 1), NA())</f>
        <v>#N/A</v>
      </c>
      <c r="Q434" t="e">
        <f ca="1">IF(433&lt;=$I$8, INDEX('Precios Diarios'!$E$2:$E$463, $G$8 - 1 + 433 - 1), NA())</f>
        <v>#N/A</v>
      </c>
      <c r="R434" t="e">
        <f ca="1">IF(433&lt;=$I$8, INDEX('Precios Diarios'!$F$2:$F$463, $G$8 - 1 + 433 - 1), NA())</f>
        <v>#N/A</v>
      </c>
    </row>
    <row r="435" spans="16:18">
      <c r="P435" s="1" t="e">
        <f ca="1">IF(434&lt;=$I$8, INDEX('Precios Diarios'!$A$2:$A$463, $G$8 - 1 + 434 - 1), NA())</f>
        <v>#N/A</v>
      </c>
      <c r="Q435" t="e">
        <f ca="1">IF(434&lt;=$I$8, INDEX('Precios Diarios'!$E$2:$E$463, $G$8 - 1 + 434 - 1), NA())</f>
        <v>#N/A</v>
      </c>
      <c r="R435" t="e">
        <f ca="1">IF(434&lt;=$I$8, INDEX('Precios Diarios'!$F$2:$F$463, $G$8 - 1 + 434 - 1), NA())</f>
        <v>#N/A</v>
      </c>
    </row>
    <row r="436" spans="16:18">
      <c r="P436" s="1" t="e">
        <f ca="1">IF(435&lt;=$I$8, INDEX('Precios Diarios'!$A$2:$A$463, $G$8 - 1 + 435 - 1), NA())</f>
        <v>#N/A</v>
      </c>
      <c r="Q436" t="e">
        <f ca="1">IF(435&lt;=$I$8, INDEX('Precios Diarios'!$E$2:$E$463, $G$8 - 1 + 435 - 1), NA())</f>
        <v>#N/A</v>
      </c>
      <c r="R436" t="e">
        <f ca="1">IF(435&lt;=$I$8, INDEX('Precios Diarios'!$F$2:$F$463, $G$8 - 1 + 435 - 1), NA())</f>
        <v>#N/A</v>
      </c>
    </row>
    <row r="437" spans="16:18">
      <c r="P437" s="1" t="e">
        <f ca="1">IF(436&lt;=$I$8, INDEX('Precios Diarios'!$A$2:$A$463, $G$8 - 1 + 436 - 1), NA())</f>
        <v>#N/A</v>
      </c>
      <c r="Q437" t="e">
        <f ca="1">IF(436&lt;=$I$8, INDEX('Precios Diarios'!$E$2:$E$463, $G$8 - 1 + 436 - 1), NA())</f>
        <v>#N/A</v>
      </c>
      <c r="R437" t="e">
        <f ca="1">IF(436&lt;=$I$8, INDEX('Precios Diarios'!$F$2:$F$463, $G$8 - 1 + 436 - 1), NA())</f>
        <v>#N/A</v>
      </c>
    </row>
    <row r="438" spans="16:18">
      <c r="P438" s="1" t="e">
        <f ca="1">IF(437&lt;=$I$8, INDEX('Precios Diarios'!$A$2:$A$463, $G$8 - 1 + 437 - 1), NA())</f>
        <v>#N/A</v>
      </c>
      <c r="Q438" t="e">
        <f ca="1">IF(437&lt;=$I$8, INDEX('Precios Diarios'!$E$2:$E$463, $G$8 - 1 + 437 - 1), NA())</f>
        <v>#N/A</v>
      </c>
      <c r="R438" t="e">
        <f ca="1">IF(437&lt;=$I$8, INDEX('Precios Diarios'!$F$2:$F$463, $G$8 - 1 + 437 - 1), NA())</f>
        <v>#N/A</v>
      </c>
    </row>
    <row r="439" spans="16:18">
      <c r="P439" s="1" t="e">
        <f ca="1">IF(438&lt;=$I$8, INDEX('Precios Diarios'!$A$2:$A$463, $G$8 - 1 + 438 - 1), NA())</f>
        <v>#N/A</v>
      </c>
      <c r="Q439" t="e">
        <f ca="1">IF(438&lt;=$I$8, INDEX('Precios Diarios'!$E$2:$E$463, $G$8 - 1 + 438 - 1), NA())</f>
        <v>#N/A</v>
      </c>
      <c r="R439" t="e">
        <f ca="1">IF(438&lt;=$I$8, INDEX('Precios Diarios'!$F$2:$F$463, $G$8 - 1 + 438 - 1), NA())</f>
        <v>#N/A</v>
      </c>
    </row>
    <row r="440" spans="16:18">
      <c r="P440" s="1" t="e">
        <f ca="1">IF(439&lt;=$I$8, INDEX('Precios Diarios'!$A$2:$A$463, $G$8 - 1 + 439 - 1), NA())</f>
        <v>#N/A</v>
      </c>
      <c r="Q440" t="e">
        <f ca="1">IF(439&lt;=$I$8, INDEX('Precios Diarios'!$E$2:$E$463, $G$8 - 1 + 439 - 1), NA())</f>
        <v>#N/A</v>
      </c>
      <c r="R440" t="e">
        <f ca="1">IF(439&lt;=$I$8, INDEX('Precios Diarios'!$F$2:$F$463, $G$8 - 1 + 439 - 1), NA())</f>
        <v>#N/A</v>
      </c>
    </row>
    <row r="441" spans="16:18">
      <c r="P441" s="1" t="e">
        <f ca="1">IF(440&lt;=$I$8, INDEX('Precios Diarios'!$A$2:$A$463, $G$8 - 1 + 440 - 1), NA())</f>
        <v>#N/A</v>
      </c>
      <c r="Q441" t="e">
        <f ca="1">IF(440&lt;=$I$8, INDEX('Precios Diarios'!$E$2:$E$463, $G$8 - 1 + 440 - 1), NA())</f>
        <v>#N/A</v>
      </c>
      <c r="R441" t="e">
        <f ca="1">IF(440&lt;=$I$8, INDEX('Precios Diarios'!$F$2:$F$463, $G$8 - 1 + 440 - 1), NA())</f>
        <v>#N/A</v>
      </c>
    </row>
    <row r="442" spans="16:18">
      <c r="P442" s="1" t="e">
        <f ca="1">IF(441&lt;=$I$8, INDEX('Precios Diarios'!$A$2:$A$463, $G$8 - 1 + 441 - 1), NA())</f>
        <v>#N/A</v>
      </c>
      <c r="Q442" t="e">
        <f ca="1">IF(441&lt;=$I$8, INDEX('Precios Diarios'!$E$2:$E$463, $G$8 - 1 + 441 - 1), NA())</f>
        <v>#N/A</v>
      </c>
      <c r="R442" t="e">
        <f ca="1">IF(441&lt;=$I$8, INDEX('Precios Diarios'!$F$2:$F$463, $G$8 - 1 + 441 - 1), NA())</f>
        <v>#N/A</v>
      </c>
    </row>
    <row r="443" spans="16:18">
      <c r="P443" s="1" t="e">
        <f ca="1">IF(442&lt;=$I$8, INDEX('Precios Diarios'!$A$2:$A$463, $G$8 - 1 + 442 - 1), NA())</f>
        <v>#N/A</v>
      </c>
      <c r="Q443" t="e">
        <f ca="1">IF(442&lt;=$I$8, INDEX('Precios Diarios'!$E$2:$E$463, $G$8 - 1 + 442 - 1), NA())</f>
        <v>#N/A</v>
      </c>
      <c r="R443" t="e">
        <f ca="1">IF(442&lt;=$I$8, INDEX('Precios Diarios'!$F$2:$F$463, $G$8 - 1 + 442 - 1), NA())</f>
        <v>#N/A</v>
      </c>
    </row>
    <row r="444" spans="16:18">
      <c r="P444" s="1" t="e">
        <f ca="1">IF(443&lt;=$I$8, INDEX('Precios Diarios'!$A$2:$A$463, $G$8 - 1 + 443 - 1), NA())</f>
        <v>#N/A</v>
      </c>
      <c r="Q444" t="e">
        <f ca="1">IF(443&lt;=$I$8, INDEX('Precios Diarios'!$E$2:$E$463, $G$8 - 1 + 443 - 1), NA())</f>
        <v>#N/A</v>
      </c>
      <c r="R444" t="e">
        <f ca="1">IF(443&lt;=$I$8, INDEX('Precios Diarios'!$F$2:$F$463, $G$8 - 1 + 443 - 1), NA())</f>
        <v>#N/A</v>
      </c>
    </row>
    <row r="445" spans="16:18">
      <c r="P445" s="1" t="e">
        <f ca="1">IF(444&lt;=$I$8, INDEX('Precios Diarios'!$A$2:$A$463, $G$8 - 1 + 444 - 1), NA())</f>
        <v>#N/A</v>
      </c>
      <c r="Q445" t="e">
        <f ca="1">IF(444&lt;=$I$8, INDEX('Precios Diarios'!$E$2:$E$463, $G$8 - 1 + 444 - 1), NA())</f>
        <v>#N/A</v>
      </c>
      <c r="R445" t="e">
        <f ca="1">IF(444&lt;=$I$8, INDEX('Precios Diarios'!$F$2:$F$463, $G$8 - 1 + 444 - 1), NA())</f>
        <v>#N/A</v>
      </c>
    </row>
    <row r="446" spans="16:18">
      <c r="P446" s="1" t="e">
        <f ca="1">IF(445&lt;=$I$8, INDEX('Precios Diarios'!$A$2:$A$463, $G$8 - 1 + 445 - 1), NA())</f>
        <v>#N/A</v>
      </c>
      <c r="Q446" t="e">
        <f ca="1">IF(445&lt;=$I$8, INDEX('Precios Diarios'!$E$2:$E$463, $G$8 - 1 + 445 - 1), NA())</f>
        <v>#N/A</v>
      </c>
      <c r="R446" t="e">
        <f ca="1">IF(445&lt;=$I$8, INDEX('Precios Diarios'!$F$2:$F$463, $G$8 - 1 + 445 - 1), NA())</f>
        <v>#N/A</v>
      </c>
    </row>
    <row r="447" spans="16:18">
      <c r="P447" s="1" t="e">
        <f ca="1">IF(446&lt;=$I$8, INDEX('Precios Diarios'!$A$2:$A$463, $G$8 - 1 + 446 - 1), NA())</f>
        <v>#N/A</v>
      </c>
      <c r="Q447" t="e">
        <f ca="1">IF(446&lt;=$I$8, INDEX('Precios Diarios'!$E$2:$E$463, $G$8 - 1 + 446 - 1), NA())</f>
        <v>#N/A</v>
      </c>
      <c r="R447" t="e">
        <f ca="1">IF(446&lt;=$I$8, INDEX('Precios Diarios'!$F$2:$F$463, $G$8 - 1 + 446 - 1), NA())</f>
        <v>#N/A</v>
      </c>
    </row>
    <row r="448" spans="16:18">
      <c r="P448" s="1" t="e">
        <f ca="1">IF(447&lt;=$I$8, INDEX('Precios Diarios'!$A$2:$A$463, $G$8 - 1 + 447 - 1), NA())</f>
        <v>#N/A</v>
      </c>
      <c r="Q448" t="e">
        <f ca="1">IF(447&lt;=$I$8, INDEX('Precios Diarios'!$E$2:$E$463, $G$8 - 1 + 447 - 1), NA())</f>
        <v>#N/A</v>
      </c>
      <c r="R448" t="e">
        <f ca="1">IF(447&lt;=$I$8, INDEX('Precios Diarios'!$F$2:$F$463, $G$8 - 1 + 447 - 1), NA())</f>
        <v>#N/A</v>
      </c>
    </row>
    <row r="449" spans="16:18">
      <c r="P449" s="1" t="e">
        <f ca="1">IF(448&lt;=$I$8, INDEX('Precios Diarios'!$A$2:$A$463, $G$8 - 1 + 448 - 1), NA())</f>
        <v>#N/A</v>
      </c>
      <c r="Q449" t="e">
        <f ca="1">IF(448&lt;=$I$8, INDEX('Precios Diarios'!$E$2:$E$463, $G$8 - 1 + 448 - 1), NA())</f>
        <v>#N/A</v>
      </c>
      <c r="R449" t="e">
        <f ca="1">IF(448&lt;=$I$8, INDEX('Precios Diarios'!$F$2:$F$463, $G$8 - 1 + 448 - 1), NA())</f>
        <v>#N/A</v>
      </c>
    </row>
    <row r="450" spans="16:18">
      <c r="P450" s="1" t="e">
        <f ca="1">IF(449&lt;=$I$8, INDEX('Precios Diarios'!$A$2:$A$463, $G$8 - 1 + 449 - 1), NA())</f>
        <v>#N/A</v>
      </c>
      <c r="Q450" t="e">
        <f ca="1">IF(449&lt;=$I$8, INDEX('Precios Diarios'!$E$2:$E$463, $G$8 - 1 + 449 - 1), NA())</f>
        <v>#N/A</v>
      </c>
      <c r="R450" t="e">
        <f ca="1">IF(449&lt;=$I$8, INDEX('Precios Diarios'!$F$2:$F$463, $G$8 - 1 + 449 - 1), NA())</f>
        <v>#N/A</v>
      </c>
    </row>
    <row r="451" spans="16:18">
      <c r="P451" s="1" t="e">
        <f ca="1">IF(450&lt;=$I$8, INDEX('Precios Diarios'!$A$2:$A$463, $G$8 - 1 + 450 - 1), NA())</f>
        <v>#N/A</v>
      </c>
      <c r="Q451" t="e">
        <f ca="1">IF(450&lt;=$I$8, INDEX('Precios Diarios'!$E$2:$E$463, $G$8 - 1 + 450 - 1), NA())</f>
        <v>#N/A</v>
      </c>
      <c r="R451" t="e">
        <f ca="1">IF(450&lt;=$I$8, INDEX('Precios Diarios'!$F$2:$F$463, $G$8 - 1 + 450 - 1), NA())</f>
        <v>#N/A</v>
      </c>
    </row>
    <row r="452" spans="16:18">
      <c r="P452" s="1" t="e">
        <f ca="1">IF(451&lt;=$I$8, INDEX('Precios Diarios'!$A$2:$A$463, $G$8 - 1 + 451 - 1), NA())</f>
        <v>#N/A</v>
      </c>
      <c r="Q452" t="e">
        <f ca="1">IF(451&lt;=$I$8, INDEX('Precios Diarios'!$E$2:$E$463, $G$8 - 1 + 451 - 1), NA())</f>
        <v>#N/A</v>
      </c>
      <c r="R452" t="e">
        <f ca="1">IF(451&lt;=$I$8, INDEX('Precios Diarios'!$F$2:$F$463, $G$8 - 1 + 451 - 1), NA())</f>
        <v>#N/A</v>
      </c>
    </row>
    <row r="453" spans="16:18">
      <c r="P453" s="1" t="e">
        <f ca="1">IF(452&lt;=$I$8, INDEX('Precios Diarios'!$A$2:$A$463, $G$8 - 1 + 452 - 1), NA())</f>
        <v>#N/A</v>
      </c>
      <c r="Q453" t="e">
        <f ca="1">IF(452&lt;=$I$8, INDEX('Precios Diarios'!$E$2:$E$463, $G$8 - 1 + 452 - 1), NA())</f>
        <v>#N/A</v>
      </c>
      <c r="R453" t="e">
        <f ca="1">IF(452&lt;=$I$8, INDEX('Precios Diarios'!$F$2:$F$463, $G$8 - 1 + 452 - 1), NA())</f>
        <v>#N/A</v>
      </c>
    </row>
    <row r="454" spans="16:18">
      <c r="P454" s="1" t="e">
        <f ca="1">IF(453&lt;=$I$8, INDEX('Precios Diarios'!$A$2:$A$463, $G$8 - 1 + 453 - 1), NA())</f>
        <v>#N/A</v>
      </c>
      <c r="Q454" t="e">
        <f ca="1">IF(453&lt;=$I$8, INDEX('Precios Diarios'!$E$2:$E$463, $G$8 - 1 + 453 - 1), NA())</f>
        <v>#N/A</v>
      </c>
      <c r="R454" t="e">
        <f ca="1">IF(453&lt;=$I$8, INDEX('Precios Diarios'!$F$2:$F$463, $G$8 - 1 + 453 - 1), NA())</f>
        <v>#N/A</v>
      </c>
    </row>
    <row r="455" spans="16:18">
      <c r="P455" s="1" t="e">
        <f ca="1">IF(454&lt;=$I$8, INDEX('Precios Diarios'!$A$2:$A$463, $G$8 - 1 + 454 - 1), NA())</f>
        <v>#N/A</v>
      </c>
      <c r="Q455" t="e">
        <f ca="1">IF(454&lt;=$I$8, INDEX('Precios Diarios'!$E$2:$E$463, $G$8 - 1 + 454 - 1), NA())</f>
        <v>#N/A</v>
      </c>
      <c r="R455" t="e">
        <f ca="1">IF(454&lt;=$I$8, INDEX('Precios Diarios'!$F$2:$F$463, $G$8 - 1 + 454 - 1), NA())</f>
        <v>#N/A</v>
      </c>
    </row>
    <row r="456" spans="16:18">
      <c r="P456" s="1" t="e">
        <f ca="1">IF(455&lt;=$I$8, INDEX('Precios Diarios'!$A$2:$A$463, $G$8 - 1 + 455 - 1), NA())</f>
        <v>#N/A</v>
      </c>
      <c r="Q456" t="e">
        <f ca="1">IF(455&lt;=$I$8, INDEX('Precios Diarios'!$E$2:$E$463, $G$8 - 1 + 455 - 1), NA())</f>
        <v>#N/A</v>
      </c>
      <c r="R456" t="e">
        <f ca="1">IF(455&lt;=$I$8, INDEX('Precios Diarios'!$F$2:$F$463, $G$8 - 1 + 455 - 1), NA())</f>
        <v>#N/A</v>
      </c>
    </row>
    <row r="457" spans="16:18">
      <c r="P457" s="1" t="e">
        <f ca="1">IF(456&lt;=$I$8, INDEX('Precios Diarios'!$A$2:$A$463, $G$8 - 1 + 456 - 1), NA())</f>
        <v>#N/A</v>
      </c>
      <c r="Q457" t="e">
        <f ca="1">IF(456&lt;=$I$8, INDEX('Precios Diarios'!$E$2:$E$463, $G$8 - 1 + 456 - 1), NA())</f>
        <v>#N/A</v>
      </c>
      <c r="R457" t="e">
        <f ca="1">IF(456&lt;=$I$8, INDEX('Precios Diarios'!$F$2:$F$463, $G$8 - 1 + 456 - 1), NA())</f>
        <v>#N/A</v>
      </c>
    </row>
    <row r="458" spans="16:18">
      <c r="P458" s="1" t="e">
        <f ca="1">IF(457&lt;=$I$8, INDEX('Precios Diarios'!$A$2:$A$463, $G$8 - 1 + 457 - 1), NA())</f>
        <v>#N/A</v>
      </c>
      <c r="Q458" t="e">
        <f ca="1">IF(457&lt;=$I$8, INDEX('Precios Diarios'!$E$2:$E$463, $G$8 - 1 + 457 - 1), NA())</f>
        <v>#N/A</v>
      </c>
      <c r="R458" t="e">
        <f ca="1">IF(457&lt;=$I$8, INDEX('Precios Diarios'!$F$2:$F$463, $G$8 - 1 + 457 - 1), NA())</f>
        <v>#N/A</v>
      </c>
    </row>
    <row r="459" spans="16:18">
      <c r="P459" s="1" t="e">
        <f ca="1">IF(458&lt;=$I$8, INDEX('Precios Diarios'!$A$2:$A$463, $G$8 - 1 + 458 - 1), NA())</f>
        <v>#N/A</v>
      </c>
      <c r="Q459" t="e">
        <f ca="1">IF(458&lt;=$I$8, INDEX('Precios Diarios'!$E$2:$E$463, $G$8 - 1 + 458 - 1), NA())</f>
        <v>#N/A</v>
      </c>
      <c r="R459" t="e">
        <f ca="1">IF(458&lt;=$I$8, INDEX('Precios Diarios'!$F$2:$F$463, $G$8 - 1 + 458 - 1), NA())</f>
        <v>#N/A</v>
      </c>
    </row>
    <row r="460" spans="16:18">
      <c r="P460" s="1" t="e">
        <f ca="1">IF(459&lt;=$I$8, INDEX('Precios Diarios'!$A$2:$A$463, $G$8 - 1 + 459 - 1), NA())</f>
        <v>#N/A</v>
      </c>
      <c r="Q460" t="e">
        <f ca="1">IF(459&lt;=$I$8, INDEX('Precios Diarios'!$E$2:$E$463, $G$8 - 1 + 459 - 1), NA())</f>
        <v>#N/A</v>
      </c>
      <c r="R460" t="e">
        <f ca="1">IF(459&lt;=$I$8, INDEX('Precios Diarios'!$F$2:$F$463, $G$8 - 1 + 459 - 1), NA())</f>
        <v>#N/A</v>
      </c>
    </row>
    <row r="461" spans="16:18">
      <c r="P461" s="1" t="e">
        <f ca="1">IF(460&lt;=$I$8, INDEX('Precios Diarios'!$A$2:$A$463, $G$8 - 1 + 460 - 1), NA())</f>
        <v>#N/A</v>
      </c>
      <c r="Q461" t="e">
        <f ca="1">IF(460&lt;=$I$8, INDEX('Precios Diarios'!$E$2:$E$463, $G$8 - 1 + 460 - 1), NA())</f>
        <v>#N/A</v>
      </c>
      <c r="R461" t="e">
        <f ca="1">IF(460&lt;=$I$8, INDEX('Precios Diarios'!$F$2:$F$463, $G$8 - 1 + 460 - 1), NA())</f>
        <v>#N/A</v>
      </c>
    </row>
    <row r="462" spans="16:18">
      <c r="P462" s="1" t="e">
        <f ca="1">IF(461&lt;=$I$8, INDEX('Precios Diarios'!$A$2:$A$463, $G$8 - 1 + 461 - 1), NA())</f>
        <v>#N/A</v>
      </c>
      <c r="Q462" t="e">
        <f ca="1">IF(461&lt;=$I$8, INDEX('Precios Diarios'!$E$2:$E$463, $G$8 - 1 + 461 - 1), NA())</f>
        <v>#N/A</v>
      </c>
      <c r="R462" t="e">
        <f ca="1">IF(461&lt;=$I$8, INDEX('Precios Diarios'!$F$2:$F$463, $G$8 - 1 + 461 - 1), NA())</f>
        <v>#N/A</v>
      </c>
    </row>
    <row r="463" spans="16:18">
      <c r="P463" s="1" t="e">
        <f ca="1">IF(462&lt;=$I$8, INDEX('Precios Diarios'!$A$2:$A$463, $G$8 - 1 + 462 - 1), NA())</f>
        <v>#N/A</v>
      </c>
      <c r="Q463" t="e">
        <f ca="1">IF(462&lt;=$I$8, INDEX('Precios Diarios'!$E$2:$E$463, $G$8 - 1 + 462 - 1), NA())</f>
        <v>#N/A</v>
      </c>
      <c r="R463" t="e">
        <f ca="1">IF(462&lt;=$I$8, INDEX('Precios Diarios'!$F$2:$F$463, $G$8 - 1 + 462 - 1), NA())</f>
        <v>#N/A</v>
      </c>
    </row>
  </sheetData>
  <mergeCells count="13">
    <mergeCell ref="A1:N1"/>
    <mergeCell ref="G3:I3"/>
    <mergeCell ref="D4:F5"/>
    <mergeCell ref="G4:I5"/>
    <mergeCell ref="M3:N3"/>
    <mergeCell ref="J3:L3"/>
    <mergeCell ref="J4:L5"/>
    <mergeCell ref="M4:N5"/>
    <mergeCell ref="A8:D8"/>
    <mergeCell ref="A7:D7"/>
    <mergeCell ref="D3:F3"/>
    <mergeCell ref="A3:C3"/>
    <mergeCell ref="A4:C5"/>
  </mergeCells>
  <dataValidations count="1">
    <dataValidation type="list" sqref="A8" xr:uid="{00000000-0002-0000-0000-000000000000}">
      <formula1>"Todo el Historial (Desde 2025),Año 2025,Año 2026,Últimos 90 Días,Últimos 30 Días"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63"/>
  <sheetViews>
    <sheetView tabSelected="1" workbookViewId="0"/>
  </sheetViews>
  <sheetFormatPr baseColWidth="10" defaultColWidth="8.7265625" defaultRowHeight="14.5"/>
  <cols>
    <col min="1" max="1" width="14" customWidth="1"/>
    <col min="2" max="4" width="16" customWidth="1"/>
    <col min="5" max="6" width="18" customWidth="1"/>
    <col min="7" max="8" width="14" customWidth="1"/>
  </cols>
  <sheetData>
    <row r="1" spans="1:8" ht="26" customHeight="1">
      <c r="A1" s="5" t="s">
        <v>1</v>
      </c>
      <c r="B1" s="5" t="s">
        <v>11</v>
      </c>
      <c r="C1" s="5" t="s">
        <v>12</v>
      </c>
      <c r="D1" s="5" t="s">
        <v>7</v>
      </c>
      <c r="E1" s="5" t="s">
        <v>2</v>
      </c>
      <c r="F1" s="5" t="s">
        <v>3</v>
      </c>
      <c r="G1" s="5" t="s">
        <v>13</v>
      </c>
      <c r="H1" s="5" t="s">
        <v>14</v>
      </c>
    </row>
    <row r="2" spans="1:8" ht="20" customHeight="1">
      <c r="A2" s="6">
        <v>45659</v>
      </c>
      <c r="B2" s="7">
        <v>2658.89990234375</v>
      </c>
      <c r="C2" s="7">
        <v>29.621999740600589</v>
      </c>
      <c r="D2" s="7">
        <v>4403.169921875</v>
      </c>
      <c r="E2" s="8">
        <f t="shared" ref="E2:E65" si="0">ROUND((B2/31.1034768)*D2, 2)</f>
        <v>376407.7</v>
      </c>
      <c r="F2" s="8">
        <f t="shared" ref="F2:F65" si="1">ROUND((C2/31.1034768)*D2, 2)</f>
        <v>4193.4399999999996</v>
      </c>
      <c r="G2" s="9">
        <v>0</v>
      </c>
      <c r="H2" s="9">
        <v>0</v>
      </c>
    </row>
    <row r="3" spans="1:8" ht="20" customHeight="1">
      <c r="A3" s="10">
        <v>45660</v>
      </c>
      <c r="B3" s="11">
        <v>2645</v>
      </c>
      <c r="C3" s="11">
        <v>29.805999755859379</v>
      </c>
      <c r="D3" s="11">
        <v>4382.35009765625</v>
      </c>
      <c r="E3" s="12">
        <f t="shared" si="0"/>
        <v>372669.46</v>
      </c>
      <c r="F3" s="12">
        <f t="shared" si="1"/>
        <v>4199.54</v>
      </c>
      <c r="G3" s="13">
        <f t="shared" ref="G3:G66" si="2">IFERROR((E3-E2)/E2, 0)</f>
        <v>-9.9313590024858438E-3</v>
      </c>
      <c r="H3" s="13">
        <f t="shared" ref="H3:H66" si="3">IFERROR((F3-F2)/F2, 0)</f>
        <v>1.4546529818002319E-3</v>
      </c>
    </row>
    <row r="4" spans="1:8" ht="20" customHeight="1">
      <c r="A4" s="6">
        <v>45663</v>
      </c>
      <c r="B4" s="7">
        <v>2638.39990234375</v>
      </c>
      <c r="C4" s="7">
        <v>30.341999053955082</v>
      </c>
      <c r="D4" s="7">
        <v>4319.55029296875</v>
      </c>
      <c r="E4" s="8">
        <f t="shared" si="0"/>
        <v>366412.45</v>
      </c>
      <c r="F4" s="8">
        <f t="shared" si="1"/>
        <v>4213.8</v>
      </c>
      <c r="G4" s="9">
        <f t="shared" si="2"/>
        <v>-1.6789704205973865E-2</v>
      </c>
      <c r="H4" s="9">
        <f t="shared" si="3"/>
        <v>3.3956099953804985E-3</v>
      </c>
    </row>
    <row r="5" spans="1:8" ht="20" customHeight="1">
      <c r="A5" s="10">
        <v>45664</v>
      </c>
      <c r="B5" s="11">
        <v>2656.699951171875</v>
      </c>
      <c r="C5" s="11">
        <v>30.447000503540039</v>
      </c>
      <c r="D5" s="11">
        <v>4338.25</v>
      </c>
      <c r="E5" s="12">
        <f t="shared" si="0"/>
        <v>370551.13</v>
      </c>
      <c r="F5" s="12">
        <f t="shared" si="1"/>
        <v>4246.6899999999996</v>
      </c>
      <c r="G5" s="13">
        <f t="shared" si="2"/>
        <v>1.1295140216987696E-2</v>
      </c>
      <c r="H5" s="13">
        <f t="shared" si="3"/>
        <v>7.8053063742938482E-3</v>
      </c>
    </row>
    <row r="6" spans="1:8" ht="20" customHeight="1">
      <c r="A6" s="6">
        <v>45665</v>
      </c>
      <c r="B6" s="7">
        <v>2664.5</v>
      </c>
      <c r="C6" s="7">
        <v>30.451999664306641</v>
      </c>
      <c r="D6" s="7">
        <v>4335.580078125</v>
      </c>
      <c r="E6" s="8">
        <f t="shared" si="0"/>
        <v>371410.35</v>
      </c>
      <c r="F6" s="8">
        <f t="shared" si="1"/>
        <v>4244.7700000000004</v>
      </c>
      <c r="G6" s="9">
        <f t="shared" si="2"/>
        <v>2.3187623257280906E-3</v>
      </c>
      <c r="H6" s="9">
        <f t="shared" si="3"/>
        <v>-4.5211682510358975E-4</v>
      </c>
    </row>
    <row r="7" spans="1:8" ht="20" customHeight="1">
      <c r="A7" s="10">
        <v>45666</v>
      </c>
      <c r="B7" s="11">
        <v>2683.800048828125</v>
      </c>
      <c r="C7" s="11">
        <v>30.791000366210941</v>
      </c>
      <c r="D7" s="11">
        <v>4325</v>
      </c>
      <c r="E7" s="12">
        <f t="shared" si="0"/>
        <v>373187.71</v>
      </c>
      <c r="F7" s="12">
        <f t="shared" si="1"/>
        <v>4281.55</v>
      </c>
      <c r="G7" s="13">
        <f t="shared" si="2"/>
        <v>4.7854347623862512E-3</v>
      </c>
      <c r="H7" s="13">
        <f t="shared" si="3"/>
        <v>8.664780423909833E-3</v>
      </c>
    </row>
    <row r="8" spans="1:8" ht="20" customHeight="1">
      <c r="A8" s="6">
        <v>45667</v>
      </c>
      <c r="B8" s="7">
        <v>2708.5</v>
      </c>
      <c r="C8" s="7">
        <v>31.090999603271481</v>
      </c>
      <c r="D8" s="7">
        <v>4330.39013671875</v>
      </c>
      <c r="E8" s="8">
        <f t="shared" si="0"/>
        <v>377091.66</v>
      </c>
      <c r="F8" s="8">
        <f t="shared" si="1"/>
        <v>4328.6499999999996</v>
      </c>
      <c r="G8" s="9">
        <f t="shared" si="2"/>
        <v>1.0461089407258222E-2</v>
      </c>
      <c r="H8" s="9">
        <f t="shared" si="3"/>
        <v>1.1000689002814274E-2</v>
      </c>
    </row>
    <row r="9" spans="1:8" ht="20" customHeight="1">
      <c r="A9" s="10">
        <v>45670</v>
      </c>
      <c r="B9" s="11">
        <v>2673.5</v>
      </c>
      <c r="C9" s="11">
        <v>30.090999603271481</v>
      </c>
      <c r="D9" s="11">
        <v>4300.29736328125</v>
      </c>
      <c r="E9" s="12">
        <f t="shared" si="0"/>
        <v>369632.15</v>
      </c>
      <c r="F9" s="12">
        <f t="shared" si="1"/>
        <v>4160.3100000000004</v>
      </c>
      <c r="G9" s="13">
        <f t="shared" si="2"/>
        <v>-1.9781689152181068E-2</v>
      </c>
      <c r="H9" s="13">
        <f t="shared" si="3"/>
        <v>-3.8889723123837511E-2</v>
      </c>
    </row>
    <row r="10" spans="1:8" ht="20" customHeight="1">
      <c r="A10" s="6">
        <v>45671</v>
      </c>
      <c r="B10" s="7">
        <v>2677.5</v>
      </c>
      <c r="C10" s="7">
        <v>30.131999969482418</v>
      </c>
      <c r="D10" s="7">
        <v>4304.75</v>
      </c>
      <c r="E10" s="8">
        <f t="shared" si="0"/>
        <v>370568.48</v>
      </c>
      <c r="F10" s="8">
        <f t="shared" si="1"/>
        <v>4170.3</v>
      </c>
      <c r="G10" s="9">
        <f t="shared" si="2"/>
        <v>2.5331400420660326E-3</v>
      </c>
      <c r="H10" s="9">
        <f t="shared" si="3"/>
        <v>2.4012633673932424E-3</v>
      </c>
    </row>
    <row r="11" spans="1:8" ht="20" customHeight="1">
      <c r="A11" s="10">
        <v>45672</v>
      </c>
      <c r="B11" s="11">
        <v>2712.5</v>
      </c>
      <c r="C11" s="11">
        <v>31.319000244140621</v>
      </c>
      <c r="D11" s="11">
        <v>4284.7001953125</v>
      </c>
      <c r="E11" s="12">
        <f t="shared" si="0"/>
        <v>373663.99</v>
      </c>
      <c r="F11" s="12">
        <f t="shared" si="1"/>
        <v>4314.3900000000003</v>
      </c>
      <c r="G11" s="13">
        <f t="shared" si="2"/>
        <v>8.3534087950491893E-3</v>
      </c>
      <c r="H11" s="13">
        <f t="shared" si="3"/>
        <v>3.4551471117185845E-2</v>
      </c>
    </row>
    <row r="12" spans="1:8" ht="20" customHeight="1">
      <c r="A12" s="6">
        <v>45673</v>
      </c>
      <c r="B12" s="7">
        <v>2746.39990234375</v>
      </c>
      <c r="C12" s="7">
        <v>31.523000717163089</v>
      </c>
      <c r="D12" s="7">
        <v>4301.18994140625</v>
      </c>
      <c r="E12" s="8">
        <f t="shared" si="0"/>
        <v>379789.94</v>
      </c>
      <c r="F12" s="8">
        <f t="shared" si="1"/>
        <v>4359.2</v>
      </c>
      <c r="G12" s="9">
        <f t="shared" si="2"/>
        <v>1.6394274438915057E-2</v>
      </c>
      <c r="H12" s="9">
        <f t="shared" si="3"/>
        <v>1.0386172784565023E-2</v>
      </c>
    </row>
    <row r="13" spans="1:8" ht="20" customHeight="1">
      <c r="A13" s="10">
        <v>45674</v>
      </c>
      <c r="B13" s="11">
        <v>2744.300048828125</v>
      </c>
      <c r="C13" s="11">
        <v>30.95100021362305</v>
      </c>
      <c r="D13" s="11">
        <v>4340</v>
      </c>
      <c r="E13" s="12">
        <f t="shared" si="0"/>
        <v>382923.82</v>
      </c>
      <c r="F13" s="12">
        <f t="shared" si="1"/>
        <v>4318.72</v>
      </c>
      <c r="G13" s="13">
        <f t="shared" si="2"/>
        <v>8.2516140369594954E-3</v>
      </c>
      <c r="H13" s="13">
        <f t="shared" si="3"/>
        <v>-9.2861075426682801E-3</v>
      </c>
    </row>
    <row r="14" spans="1:8" ht="20" customHeight="1">
      <c r="A14" s="6">
        <v>45677</v>
      </c>
      <c r="B14" s="7">
        <v>2744.300048828125</v>
      </c>
      <c r="C14" s="7">
        <v>30.95100021362305</v>
      </c>
      <c r="D14" s="7">
        <v>4297.4140625</v>
      </c>
      <c r="E14" s="8">
        <f t="shared" si="0"/>
        <v>379166.41</v>
      </c>
      <c r="F14" s="8">
        <f t="shared" si="1"/>
        <v>4276.3500000000004</v>
      </c>
      <c r="G14" s="9">
        <f t="shared" si="2"/>
        <v>-9.8124216978720015E-3</v>
      </c>
      <c r="H14" s="9">
        <f t="shared" si="3"/>
        <v>-9.8107772673384445E-3</v>
      </c>
    </row>
    <row r="15" spans="1:8" ht="20" customHeight="1">
      <c r="A15" s="10">
        <v>45678</v>
      </c>
      <c r="B15" s="11">
        <v>2755</v>
      </c>
      <c r="C15" s="11">
        <v>31.311000823974609</v>
      </c>
      <c r="D15" s="11">
        <v>4321.60009765625</v>
      </c>
      <c r="E15" s="12">
        <f t="shared" si="0"/>
        <v>382787.05</v>
      </c>
      <c r="F15" s="12">
        <f t="shared" si="1"/>
        <v>4350.43</v>
      </c>
      <c r="G15" s="13">
        <f t="shared" si="2"/>
        <v>9.5489471232433655E-3</v>
      </c>
      <c r="H15" s="13">
        <f t="shared" si="3"/>
        <v>1.7323184491447128E-2</v>
      </c>
    </row>
    <row r="16" spans="1:8" ht="20" customHeight="1">
      <c r="A16" s="6">
        <v>45679</v>
      </c>
      <c r="B16" s="7">
        <v>2767.60009765625</v>
      </c>
      <c r="C16" s="7">
        <v>31.23900032043457</v>
      </c>
      <c r="D16" s="7">
        <v>4308.7001953125</v>
      </c>
      <c r="E16" s="8">
        <f t="shared" si="0"/>
        <v>383389.91</v>
      </c>
      <c r="F16" s="8">
        <f t="shared" si="1"/>
        <v>4327.47</v>
      </c>
      <c r="G16" s="9">
        <f t="shared" si="2"/>
        <v>1.5749226626135498E-3</v>
      </c>
      <c r="H16" s="9">
        <f t="shared" si="3"/>
        <v>-5.2776392218700299E-3</v>
      </c>
    </row>
    <row r="17" spans="1:8" ht="20" customHeight="1">
      <c r="A17" s="10">
        <v>45680</v>
      </c>
      <c r="B17" s="11">
        <v>2763.10009765625</v>
      </c>
      <c r="C17" s="11">
        <v>30.673000335693359</v>
      </c>
      <c r="D17" s="11">
        <v>4259.25</v>
      </c>
      <c r="E17" s="12">
        <f t="shared" si="0"/>
        <v>378373.59</v>
      </c>
      <c r="F17" s="12">
        <f t="shared" si="1"/>
        <v>4200.3</v>
      </c>
      <c r="G17" s="13">
        <f t="shared" si="2"/>
        <v>-1.3084121071417735E-2</v>
      </c>
      <c r="H17" s="13">
        <f t="shared" si="3"/>
        <v>-2.9386685522949915E-2</v>
      </c>
    </row>
    <row r="18" spans="1:8" ht="20" customHeight="1">
      <c r="A18" s="6">
        <v>45681</v>
      </c>
      <c r="B18" s="7">
        <v>2777.300048828125</v>
      </c>
      <c r="C18" s="7">
        <v>31.023000717163089</v>
      </c>
      <c r="D18" s="7">
        <v>4224.509765625</v>
      </c>
      <c r="E18" s="8">
        <f t="shared" si="0"/>
        <v>377216.07</v>
      </c>
      <c r="F18" s="8">
        <f t="shared" si="1"/>
        <v>4213.58</v>
      </c>
      <c r="G18" s="9">
        <f t="shared" si="2"/>
        <v>-3.0591987141597768E-3</v>
      </c>
      <c r="H18" s="9">
        <f t="shared" si="3"/>
        <v>3.1616789276955799E-3</v>
      </c>
    </row>
    <row r="19" spans="1:8" ht="20" customHeight="1">
      <c r="A19" s="10">
        <v>45684</v>
      </c>
      <c r="B19" s="11">
        <v>2737.5</v>
      </c>
      <c r="C19" s="11">
        <v>30.253999710083011</v>
      </c>
      <c r="D19" s="11">
        <v>4175.05126953125</v>
      </c>
      <c r="E19" s="12">
        <f t="shared" si="0"/>
        <v>367457.4</v>
      </c>
      <c r="F19" s="12">
        <f t="shared" si="1"/>
        <v>4061.03</v>
      </c>
      <c r="G19" s="13">
        <f t="shared" si="2"/>
        <v>-2.587023930343154E-2</v>
      </c>
      <c r="H19" s="13">
        <f t="shared" si="3"/>
        <v>-3.6204367782265851E-2</v>
      </c>
    </row>
    <row r="20" spans="1:8" ht="20" customHeight="1">
      <c r="A20" s="6">
        <v>45685</v>
      </c>
      <c r="B20" s="7">
        <v>2766.800048828125</v>
      </c>
      <c r="C20" s="7">
        <v>30.726999282836911</v>
      </c>
      <c r="D20" s="7">
        <v>4193.77978515625</v>
      </c>
      <c r="E20" s="8">
        <f t="shared" si="0"/>
        <v>373056.37</v>
      </c>
      <c r="F20" s="8">
        <f t="shared" si="1"/>
        <v>4143.0200000000004</v>
      </c>
      <c r="G20" s="9">
        <f t="shared" si="2"/>
        <v>1.5237058771982743E-2</v>
      </c>
      <c r="H20" s="9">
        <f t="shared" si="3"/>
        <v>2.0189459324358654E-2</v>
      </c>
    </row>
    <row r="21" spans="1:8" ht="20" customHeight="1">
      <c r="A21" s="10">
        <v>45686</v>
      </c>
      <c r="B21" s="11">
        <v>2769.10009765625</v>
      </c>
      <c r="C21" s="11">
        <v>31.23800086975098</v>
      </c>
      <c r="D21" s="11">
        <v>4217.43994140625</v>
      </c>
      <c r="E21" s="12">
        <f t="shared" si="0"/>
        <v>375472.92</v>
      </c>
      <c r="F21" s="12">
        <f t="shared" si="1"/>
        <v>4235.68</v>
      </c>
      <c r="G21" s="13">
        <f t="shared" si="2"/>
        <v>6.4777073770379218E-3</v>
      </c>
      <c r="H21" s="13">
        <f t="shared" si="3"/>
        <v>2.236532770780731E-2</v>
      </c>
    </row>
    <row r="22" spans="1:8" ht="20" customHeight="1">
      <c r="A22" s="6">
        <v>45687</v>
      </c>
      <c r="B22" s="7">
        <v>2823</v>
      </c>
      <c r="C22" s="7">
        <v>32.363998413085938</v>
      </c>
      <c r="D22" s="7">
        <v>4167.830078125</v>
      </c>
      <c r="E22" s="8">
        <f t="shared" si="0"/>
        <v>378278.75</v>
      </c>
      <c r="F22" s="8">
        <f t="shared" si="1"/>
        <v>4336.74</v>
      </c>
      <c r="G22" s="9">
        <f t="shared" si="2"/>
        <v>7.4727892493552306E-3</v>
      </c>
      <c r="H22" s="9">
        <f t="shared" si="3"/>
        <v>2.3859215049295387E-2</v>
      </c>
    </row>
    <row r="23" spans="1:8" ht="20" customHeight="1">
      <c r="A23" s="10">
        <v>45688</v>
      </c>
      <c r="B23" s="11">
        <v>2812.5</v>
      </c>
      <c r="C23" s="11">
        <v>32.127998352050781</v>
      </c>
      <c r="D23" s="11">
        <v>4160.0498046875</v>
      </c>
      <c r="E23" s="12">
        <f t="shared" si="0"/>
        <v>376168.24</v>
      </c>
      <c r="F23" s="12">
        <f t="shared" si="1"/>
        <v>4297.08</v>
      </c>
      <c r="G23" s="13">
        <f t="shared" si="2"/>
        <v>-5.5792454638279561E-3</v>
      </c>
      <c r="H23" s="13">
        <f t="shared" si="3"/>
        <v>-9.1451182224435539E-3</v>
      </c>
    </row>
    <row r="24" spans="1:8" ht="20" customHeight="1">
      <c r="A24" s="6">
        <v>45691</v>
      </c>
      <c r="B24" s="7">
        <v>2833.89990234375</v>
      </c>
      <c r="C24" s="7">
        <v>32.391998291015618</v>
      </c>
      <c r="D24" s="7">
        <v>4170.0439453125</v>
      </c>
      <c r="E24" s="8">
        <f t="shared" si="0"/>
        <v>379941.03</v>
      </c>
      <c r="F24" s="8">
        <f t="shared" si="1"/>
        <v>4342.8</v>
      </c>
      <c r="G24" s="9">
        <f t="shared" si="2"/>
        <v>1.0029528277028485E-2</v>
      </c>
      <c r="H24" s="9">
        <f t="shared" si="3"/>
        <v>1.0639783294702509E-2</v>
      </c>
    </row>
    <row r="25" spans="1:8" ht="20" customHeight="1">
      <c r="A25" s="10">
        <v>45692</v>
      </c>
      <c r="B25" s="11">
        <v>2853.300048828125</v>
      </c>
      <c r="C25" s="11">
        <v>32.88800048828125</v>
      </c>
      <c r="D25" s="11">
        <v>4160.669921875</v>
      </c>
      <c r="E25" s="12">
        <f t="shared" si="0"/>
        <v>381682.08</v>
      </c>
      <c r="F25" s="12">
        <f t="shared" si="1"/>
        <v>4399.38</v>
      </c>
      <c r="G25" s="13">
        <f t="shared" si="2"/>
        <v>4.5824216458011605E-3</v>
      </c>
      <c r="H25" s="13">
        <f t="shared" si="3"/>
        <v>1.3028460900801309E-2</v>
      </c>
    </row>
    <row r="26" spans="1:8" ht="20" customHeight="1">
      <c r="A26" s="6">
        <v>45693</v>
      </c>
      <c r="B26" s="7">
        <v>2871.60009765625</v>
      </c>
      <c r="C26" s="7">
        <v>32.856998443603523</v>
      </c>
      <c r="D26" s="7">
        <v>4164</v>
      </c>
      <c r="E26" s="8">
        <f t="shared" si="0"/>
        <v>384437.5</v>
      </c>
      <c r="F26" s="8">
        <f t="shared" si="1"/>
        <v>4398.75</v>
      </c>
      <c r="G26" s="9">
        <f t="shared" si="2"/>
        <v>7.2191495078835861E-3</v>
      </c>
      <c r="H26" s="9">
        <f t="shared" si="3"/>
        <v>-1.432019966450066E-4</v>
      </c>
    </row>
    <row r="27" spans="1:8" ht="20" customHeight="1">
      <c r="A27" s="10">
        <v>45694</v>
      </c>
      <c r="B27" s="11">
        <v>2856</v>
      </c>
      <c r="C27" s="11">
        <v>32.518001556396477</v>
      </c>
      <c r="D27" s="11">
        <v>4174.81982421875</v>
      </c>
      <c r="E27" s="12">
        <f t="shared" si="0"/>
        <v>383342.53</v>
      </c>
      <c r="F27" s="12">
        <f t="shared" si="1"/>
        <v>4364.68</v>
      </c>
      <c r="G27" s="13">
        <f t="shared" si="2"/>
        <v>-2.8482393106811174E-3</v>
      </c>
      <c r="H27" s="13">
        <f t="shared" si="3"/>
        <v>-7.7453822108552901E-3</v>
      </c>
    </row>
    <row r="28" spans="1:8" ht="20" customHeight="1">
      <c r="A28" s="6">
        <v>45695</v>
      </c>
      <c r="B28" s="7">
        <v>2867.300048828125</v>
      </c>
      <c r="C28" s="7">
        <v>32.334999084472663</v>
      </c>
      <c r="D28" s="7">
        <v>4140.81005859375</v>
      </c>
      <c r="E28" s="8">
        <f t="shared" si="0"/>
        <v>381724.04</v>
      </c>
      <c r="F28" s="8">
        <f t="shared" si="1"/>
        <v>4304.76</v>
      </c>
      <c r="G28" s="9">
        <f t="shared" si="2"/>
        <v>-4.2220465336837232E-3</v>
      </c>
      <c r="H28" s="9">
        <f t="shared" si="3"/>
        <v>-1.3728383294995296E-2</v>
      </c>
    </row>
    <row r="29" spans="1:8" ht="20" customHeight="1">
      <c r="A29" s="10">
        <v>45698</v>
      </c>
      <c r="B29" s="11">
        <v>2914.300048828125</v>
      </c>
      <c r="C29" s="11">
        <v>32.391998291015618</v>
      </c>
      <c r="D29" s="11">
        <v>4105.4619140625</v>
      </c>
      <c r="E29" s="12">
        <f t="shared" si="0"/>
        <v>384669.15</v>
      </c>
      <c r="F29" s="12">
        <f t="shared" si="1"/>
        <v>4275.54</v>
      </c>
      <c r="G29" s="13">
        <f t="shared" si="2"/>
        <v>7.7152856288538818E-3</v>
      </c>
      <c r="H29" s="13">
        <f t="shared" si="3"/>
        <v>-6.7878348618738912E-3</v>
      </c>
    </row>
    <row r="30" spans="1:8" ht="20" customHeight="1">
      <c r="A30" s="6">
        <v>45699</v>
      </c>
      <c r="B30" s="7">
        <v>2912.5</v>
      </c>
      <c r="C30" s="7">
        <v>32.230998992919922</v>
      </c>
      <c r="D30" s="7">
        <v>4134.25</v>
      </c>
      <c r="E30" s="8">
        <f t="shared" si="0"/>
        <v>387127.24</v>
      </c>
      <c r="F30" s="8">
        <f t="shared" si="1"/>
        <v>4284.12</v>
      </c>
      <c r="G30" s="9">
        <f t="shared" si="2"/>
        <v>6.3901407222283543E-3</v>
      </c>
      <c r="H30" s="9">
        <f t="shared" si="3"/>
        <v>2.0067640578733744E-3</v>
      </c>
    </row>
    <row r="31" spans="1:8" ht="20" customHeight="1">
      <c r="A31" s="10">
        <v>45700</v>
      </c>
      <c r="B31" s="11">
        <v>2909</v>
      </c>
      <c r="C31" s="11">
        <v>32.694999694824219</v>
      </c>
      <c r="D31" s="11">
        <v>4139.81982421875</v>
      </c>
      <c r="E31" s="12">
        <f t="shared" si="0"/>
        <v>387182.95</v>
      </c>
      <c r="F31" s="12">
        <f t="shared" si="1"/>
        <v>4351.6499999999996</v>
      </c>
      <c r="G31" s="13">
        <f t="shared" si="2"/>
        <v>1.4390617410446485E-4</v>
      </c>
      <c r="H31" s="13">
        <f t="shared" si="3"/>
        <v>1.5762863785328082E-2</v>
      </c>
    </row>
    <row r="32" spans="1:8" ht="20" customHeight="1">
      <c r="A32" s="6">
        <v>45701</v>
      </c>
      <c r="B32" s="7">
        <v>2925.89990234375</v>
      </c>
      <c r="C32" s="7">
        <v>32.650001525878913</v>
      </c>
      <c r="D32" s="7">
        <v>4165.35009765625</v>
      </c>
      <c r="E32" s="8">
        <f t="shared" si="0"/>
        <v>391833.93</v>
      </c>
      <c r="F32" s="8">
        <f t="shared" si="1"/>
        <v>4372.46</v>
      </c>
      <c r="G32" s="9">
        <f t="shared" si="2"/>
        <v>1.201235746563732E-2</v>
      </c>
      <c r="H32" s="9">
        <f t="shared" si="3"/>
        <v>4.7820941481967532E-3</v>
      </c>
    </row>
    <row r="33" spans="1:8" ht="20" customHeight="1">
      <c r="A33" s="10">
        <v>45702</v>
      </c>
      <c r="B33" s="11">
        <v>2883.60009765625</v>
      </c>
      <c r="C33" s="11">
        <v>32.800998687744141</v>
      </c>
      <c r="D33" s="11">
        <v>4137.6298828125</v>
      </c>
      <c r="E33" s="12">
        <f t="shared" si="0"/>
        <v>383599.24</v>
      </c>
      <c r="F33" s="12">
        <f t="shared" si="1"/>
        <v>4363.45</v>
      </c>
      <c r="G33" s="13">
        <f t="shared" si="2"/>
        <v>-2.1015765531075887E-2</v>
      </c>
      <c r="H33" s="13">
        <f t="shared" si="3"/>
        <v>-2.0606249113771695E-3</v>
      </c>
    </row>
    <row r="34" spans="1:8" ht="20" customHeight="1">
      <c r="A34" s="6">
        <v>45705</v>
      </c>
      <c r="B34" s="7">
        <v>2883.60009765625</v>
      </c>
      <c r="C34" s="7">
        <v>32.800998687744141</v>
      </c>
      <c r="D34" s="7">
        <v>4077.534912109375</v>
      </c>
      <c r="E34" s="8">
        <f t="shared" si="0"/>
        <v>378027.84</v>
      </c>
      <c r="F34" s="8">
        <f t="shared" si="1"/>
        <v>4300.07</v>
      </c>
      <c r="G34" s="9">
        <f t="shared" si="2"/>
        <v>-1.4524012091369016E-2</v>
      </c>
      <c r="H34" s="9">
        <f t="shared" si="3"/>
        <v>-1.4525203680573884E-2</v>
      </c>
    </row>
    <row r="35" spans="1:8" ht="20" customHeight="1">
      <c r="A35" s="10">
        <v>45706</v>
      </c>
      <c r="B35" s="11">
        <v>2931.60009765625</v>
      </c>
      <c r="C35" s="11">
        <v>33.317001342773438</v>
      </c>
      <c r="D35" s="11">
        <v>4134.25</v>
      </c>
      <c r="E35" s="12">
        <f t="shared" si="0"/>
        <v>389666.01</v>
      </c>
      <c r="F35" s="12">
        <f t="shared" si="1"/>
        <v>4428.47</v>
      </c>
      <c r="G35" s="13">
        <f t="shared" si="2"/>
        <v>3.078654207055222E-2</v>
      </c>
      <c r="H35" s="13">
        <f t="shared" si="3"/>
        <v>2.9859979023597421E-2</v>
      </c>
    </row>
    <row r="36" spans="1:8" ht="20" customHeight="1">
      <c r="A36" s="6">
        <v>45707</v>
      </c>
      <c r="B36" s="7">
        <v>2919.39990234375</v>
      </c>
      <c r="C36" s="7">
        <v>32.993000030517578</v>
      </c>
      <c r="D36" s="7">
        <v>4091.330078125</v>
      </c>
      <c r="E36" s="8">
        <f t="shared" si="0"/>
        <v>384015.87</v>
      </c>
      <c r="F36" s="8">
        <f t="shared" si="1"/>
        <v>4339.88</v>
      </c>
      <c r="G36" s="9">
        <f t="shared" si="2"/>
        <v>-1.4499956000781321E-2</v>
      </c>
      <c r="H36" s="9">
        <f t="shared" si="3"/>
        <v>-2.0004651719442639E-2</v>
      </c>
    </row>
    <row r="37" spans="1:8" ht="20" customHeight="1">
      <c r="A37" s="10">
        <v>45708</v>
      </c>
      <c r="B37" s="11">
        <v>2940</v>
      </c>
      <c r="C37" s="11">
        <v>33.444000244140618</v>
      </c>
      <c r="D37" s="11">
        <v>4097</v>
      </c>
      <c r="E37" s="12">
        <f t="shared" si="0"/>
        <v>387261.53</v>
      </c>
      <c r="F37" s="12">
        <f t="shared" si="1"/>
        <v>4405.3</v>
      </c>
      <c r="G37" s="13">
        <f t="shared" si="2"/>
        <v>8.4518902825553351E-3</v>
      </c>
      <c r="H37" s="13">
        <f t="shared" si="3"/>
        <v>1.5074149515654826E-2</v>
      </c>
    </row>
    <row r="38" spans="1:8" ht="20" customHeight="1">
      <c r="A38" s="6">
        <v>45709</v>
      </c>
      <c r="B38" s="7">
        <v>2937.60009765625</v>
      </c>
      <c r="C38" s="7">
        <v>32.976001739501953</v>
      </c>
      <c r="D38" s="7">
        <v>4073.25</v>
      </c>
      <c r="E38" s="8">
        <f t="shared" si="0"/>
        <v>384702.32</v>
      </c>
      <c r="F38" s="8">
        <f t="shared" si="1"/>
        <v>4318.47</v>
      </c>
      <c r="G38" s="9">
        <f t="shared" si="2"/>
        <v>-6.6084798043328005E-3</v>
      </c>
      <c r="H38" s="9">
        <f t="shared" si="3"/>
        <v>-1.9710348897918398E-2</v>
      </c>
    </row>
    <row r="39" spans="1:8" ht="20" customHeight="1">
      <c r="A39" s="10">
        <v>45712</v>
      </c>
      <c r="B39" s="11">
        <v>2947.89990234375</v>
      </c>
      <c r="C39" s="11">
        <v>32.575000762939453</v>
      </c>
      <c r="D39" s="11">
        <v>4030.2900390625</v>
      </c>
      <c r="E39" s="12">
        <f t="shared" si="0"/>
        <v>381979.54</v>
      </c>
      <c r="F39" s="12">
        <f t="shared" si="1"/>
        <v>4220.97</v>
      </c>
      <c r="G39" s="13">
        <f t="shared" si="2"/>
        <v>-7.077628229536094E-3</v>
      </c>
      <c r="H39" s="13">
        <f t="shared" si="3"/>
        <v>-2.2577440621331164E-2</v>
      </c>
    </row>
    <row r="40" spans="1:8" ht="20" customHeight="1">
      <c r="A40" s="6">
        <v>45713</v>
      </c>
      <c r="B40" s="7">
        <v>2904.5</v>
      </c>
      <c r="C40" s="7">
        <v>31.80100059509277</v>
      </c>
      <c r="D40" s="7">
        <v>4116</v>
      </c>
      <c r="E40" s="8">
        <f t="shared" si="0"/>
        <v>384359.67</v>
      </c>
      <c r="F40" s="8">
        <f t="shared" si="1"/>
        <v>4208.3100000000004</v>
      </c>
      <c r="G40" s="9">
        <f t="shared" si="2"/>
        <v>6.2310405421191007E-3</v>
      </c>
      <c r="H40" s="9">
        <f t="shared" si="3"/>
        <v>-2.9993105850076767E-3</v>
      </c>
    </row>
    <row r="41" spans="1:8" ht="20" customHeight="1">
      <c r="A41" s="10">
        <v>45714</v>
      </c>
      <c r="B41" s="11">
        <v>2916.800048828125</v>
      </c>
      <c r="C41" s="11">
        <v>32.252998352050781</v>
      </c>
      <c r="D41" s="11">
        <v>4125.5</v>
      </c>
      <c r="E41" s="12">
        <f t="shared" si="0"/>
        <v>386878.25</v>
      </c>
      <c r="F41" s="12">
        <f t="shared" si="1"/>
        <v>4277.97</v>
      </c>
      <c r="G41" s="13">
        <f t="shared" si="2"/>
        <v>6.5526645914750015E-3</v>
      </c>
      <c r="H41" s="13">
        <f t="shared" si="3"/>
        <v>1.6552963065933794E-2</v>
      </c>
    </row>
    <row r="42" spans="1:8" ht="20" customHeight="1">
      <c r="A42" s="6">
        <v>45715</v>
      </c>
      <c r="B42" s="7">
        <v>2883.199951171875</v>
      </c>
      <c r="C42" s="7">
        <v>31.80100059509277</v>
      </c>
      <c r="D42" s="7">
        <v>4103.080078125</v>
      </c>
      <c r="E42" s="8">
        <f t="shared" si="0"/>
        <v>380343.34</v>
      </c>
      <c r="F42" s="8">
        <f t="shared" si="1"/>
        <v>4195.1000000000004</v>
      </c>
      <c r="G42" s="9">
        <f t="shared" si="2"/>
        <v>-1.6891386372844621E-2</v>
      </c>
      <c r="H42" s="9">
        <f t="shared" si="3"/>
        <v>-1.9371337339906518E-2</v>
      </c>
    </row>
    <row r="43" spans="1:8" ht="20" customHeight="1">
      <c r="A43" s="10">
        <v>45716</v>
      </c>
      <c r="B43" s="11">
        <v>2836.800048828125</v>
      </c>
      <c r="C43" s="11">
        <v>31.218999862670898</v>
      </c>
      <c r="D43" s="11">
        <v>4130.5</v>
      </c>
      <c r="E43" s="12">
        <f t="shared" si="0"/>
        <v>376723.24</v>
      </c>
      <c r="F43" s="12">
        <f t="shared" si="1"/>
        <v>4145.84</v>
      </c>
      <c r="G43" s="13">
        <f t="shared" si="2"/>
        <v>-9.5179792026857495E-3</v>
      </c>
      <c r="H43" s="13">
        <f t="shared" si="3"/>
        <v>-1.1742270744439993E-2</v>
      </c>
    </row>
    <row r="44" spans="1:8" ht="20" customHeight="1">
      <c r="A44" s="6">
        <v>45719</v>
      </c>
      <c r="B44" s="7">
        <v>2890.199951171875</v>
      </c>
      <c r="C44" s="7">
        <v>32.032001495361328</v>
      </c>
      <c r="D44" s="7">
        <v>4090.85205078125</v>
      </c>
      <c r="E44" s="8">
        <f t="shared" si="0"/>
        <v>380130.51</v>
      </c>
      <c r="F44" s="8">
        <f t="shared" si="1"/>
        <v>4212.9799999999996</v>
      </c>
      <c r="G44" s="9">
        <f t="shared" si="2"/>
        <v>9.0444911229793489E-3</v>
      </c>
      <c r="H44" s="9">
        <f t="shared" si="3"/>
        <v>1.6194546822839138E-2</v>
      </c>
    </row>
    <row r="45" spans="1:8" ht="20" customHeight="1">
      <c r="A45" s="10">
        <v>45720</v>
      </c>
      <c r="B45" s="11">
        <v>2909.60009765625</v>
      </c>
      <c r="C45" s="11">
        <v>32.108001708984382</v>
      </c>
      <c r="D45" s="11">
        <v>4124.25</v>
      </c>
      <c r="E45" s="12">
        <f t="shared" si="0"/>
        <v>385806.33</v>
      </c>
      <c r="F45" s="12">
        <f t="shared" si="1"/>
        <v>4257.45</v>
      </c>
      <c r="G45" s="13">
        <f t="shared" si="2"/>
        <v>1.4931240325855473E-2</v>
      </c>
      <c r="H45" s="13">
        <f t="shared" si="3"/>
        <v>1.0555473797644484E-2</v>
      </c>
    </row>
    <row r="46" spans="1:8" ht="20" customHeight="1">
      <c r="A46" s="6">
        <v>45721</v>
      </c>
      <c r="B46" s="7">
        <v>2915.300048828125</v>
      </c>
      <c r="C46" s="7">
        <v>32.858001708984382</v>
      </c>
      <c r="D46" s="7">
        <v>4152.0498046875</v>
      </c>
      <c r="E46" s="8">
        <f t="shared" si="0"/>
        <v>389167.78</v>
      </c>
      <c r="F46" s="8">
        <f t="shared" si="1"/>
        <v>4386.26</v>
      </c>
      <c r="G46" s="9">
        <f t="shared" si="2"/>
        <v>8.7127912079618067E-3</v>
      </c>
      <c r="H46" s="9">
        <f t="shared" si="3"/>
        <v>3.025519970874594E-2</v>
      </c>
    </row>
    <row r="47" spans="1:8" ht="20" customHeight="1">
      <c r="A47" s="10">
        <v>45722</v>
      </c>
      <c r="B47" s="11">
        <v>2916.60009765625</v>
      </c>
      <c r="C47" s="11">
        <v>33.062999725341797</v>
      </c>
      <c r="D47" s="11">
        <v>4111.25</v>
      </c>
      <c r="E47" s="12">
        <f t="shared" si="0"/>
        <v>385515.49</v>
      </c>
      <c r="F47" s="12">
        <f t="shared" si="1"/>
        <v>4370.26</v>
      </c>
      <c r="G47" s="13">
        <f t="shared" si="2"/>
        <v>-9.3848725092299193E-3</v>
      </c>
      <c r="H47" s="13">
        <f t="shared" si="3"/>
        <v>-3.6477545790719198E-3</v>
      </c>
    </row>
    <row r="48" spans="1:8" ht="20" customHeight="1">
      <c r="A48" s="6">
        <v>45723</v>
      </c>
      <c r="B48" s="7">
        <v>2904.699951171875</v>
      </c>
      <c r="C48" s="7">
        <v>32.548000335693359</v>
      </c>
      <c r="D48" s="7">
        <v>4106.25</v>
      </c>
      <c r="E48" s="8">
        <f t="shared" si="0"/>
        <v>383475.59</v>
      </c>
      <c r="F48" s="8">
        <f t="shared" si="1"/>
        <v>4296.95</v>
      </c>
      <c r="G48" s="9">
        <f t="shared" si="2"/>
        <v>-5.2913567753139186E-3</v>
      </c>
      <c r="H48" s="9">
        <f t="shared" si="3"/>
        <v>-1.6774745667305926E-2</v>
      </c>
    </row>
    <row r="49" spans="1:8" ht="20" customHeight="1">
      <c r="A49" s="10">
        <v>45726</v>
      </c>
      <c r="B49" s="11">
        <v>2891</v>
      </c>
      <c r="C49" s="11">
        <v>32.275001525878913</v>
      </c>
      <c r="D49" s="11">
        <v>4060.3515625</v>
      </c>
      <c r="E49" s="12">
        <f t="shared" si="0"/>
        <v>377400.78</v>
      </c>
      <c r="F49" s="12">
        <f t="shared" si="1"/>
        <v>4213.29</v>
      </c>
      <c r="G49" s="13">
        <f t="shared" si="2"/>
        <v>-1.5841451603216771E-2</v>
      </c>
      <c r="H49" s="13">
        <f t="shared" si="3"/>
        <v>-1.9469623802929954E-2</v>
      </c>
    </row>
    <row r="50" spans="1:8" ht="20" customHeight="1">
      <c r="A50" s="6">
        <v>45727</v>
      </c>
      <c r="B50" s="7">
        <v>2912.89990234375</v>
      </c>
      <c r="C50" s="7">
        <v>32.88800048828125</v>
      </c>
      <c r="D50" s="7">
        <v>4179.5</v>
      </c>
      <c r="E50" s="8">
        <f t="shared" si="0"/>
        <v>391418.14</v>
      </c>
      <c r="F50" s="8">
        <f t="shared" si="1"/>
        <v>4419.29</v>
      </c>
      <c r="G50" s="9">
        <f t="shared" si="2"/>
        <v>3.7141841625234547E-2</v>
      </c>
      <c r="H50" s="9">
        <f t="shared" si="3"/>
        <v>4.8892907917565606E-2</v>
      </c>
    </row>
    <row r="51" spans="1:8" ht="20" customHeight="1">
      <c r="A51" s="10">
        <v>45728</v>
      </c>
      <c r="B51" s="11">
        <v>2939.10009765625</v>
      </c>
      <c r="C51" s="11">
        <v>33.484001159667969</v>
      </c>
      <c r="D51" s="11">
        <v>4123.25</v>
      </c>
      <c r="E51" s="12">
        <f t="shared" si="0"/>
        <v>389623.47</v>
      </c>
      <c r="F51" s="12">
        <f t="shared" si="1"/>
        <v>4438.83</v>
      </c>
      <c r="G51" s="13">
        <f t="shared" si="2"/>
        <v>-4.5850455474548057E-3</v>
      </c>
      <c r="H51" s="13">
        <f t="shared" si="3"/>
        <v>4.4215247245598197E-3</v>
      </c>
    </row>
    <row r="52" spans="1:8" ht="20" customHeight="1">
      <c r="A52" s="6">
        <v>45729</v>
      </c>
      <c r="B52" s="7">
        <v>2984.300048828125</v>
      </c>
      <c r="C52" s="7">
        <v>34.050998687744141</v>
      </c>
      <c r="D52" s="7">
        <v>4107.75</v>
      </c>
      <c r="E52" s="8">
        <f t="shared" si="0"/>
        <v>394128.24</v>
      </c>
      <c r="F52" s="8">
        <f t="shared" si="1"/>
        <v>4497.0200000000004</v>
      </c>
      <c r="G52" s="9">
        <f t="shared" si="2"/>
        <v>1.1561854833847711E-2</v>
      </c>
      <c r="H52" s="9">
        <f t="shared" si="3"/>
        <v>1.3109310336282423E-2</v>
      </c>
    </row>
    <row r="53" spans="1:8" ht="20" customHeight="1">
      <c r="A53" s="10">
        <v>45730</v>
      </c>
      <c r="B53" s="11">
        <v>2994.5</v>
      </c>
      <c r="C53" s="11">
        <v>34.187000274658203</v>
      </c>
      <c r="D53" s="11">
        <v>4123.25</v>
      </c>
      <c r="E53" s="12">
        <f t="shared" si="0"/>
        <v>396967.59</v>
      </c>
      <c r="F53" s="12">
        <f t="shared" si="1"/>
        <v>4532.0200000000004</v>
      </c>
      <c r="G53" s="13">
        <f t="shared" si="2"/>
        <v>7.2041272657854582E-3</v>
      </c>
      <c r="H53" s="13">
        <f t="shared" si="3"/>
        <v>7.7829318081751907E-3</v>
      </c>
    </row>
    <row r="54" spans="1:8" ht="20" customHeight="1">
      <c r="A54" s="6">
        <v>45733</v>
      </c>
      <c r="B54" s="7">
        <v>3000</v>
      </c>
      <c r="C54" s="7">
        <v>34.074001312255859</v>
      </c>
      <c r="D54" s="7">
        <v>4069.672607421875</v>
      </c>
      <c r="E54" s="8">
        <f t="shared" si="0"/>
        <v>392529.04</v>
      </c>
      <c r="F54" s="8">
        <f t="shared" si="1"/>
        <v>4458.34</v>
      </c>
      <c r="G54" s="9">
        <f t="shared" si="2"/>
        <v>-1.1181139498063422E-2</v>
      </c>
      <c r="H54" s="9">
        <f t="shared" si="3"/>
        <v>-1.6257651113631512E-2</v>
      </c>
    </row>
    <row r="55" spans="1:8" ht="20" customHeight="1">
      <c r="A55" s="10">
        <v>45734</v>
      </c>
      <c r="B55" s="11">
        <v>3035.10009765625</v>
      </c>
      <c r="C55" s="11">
        <v>34.578998565673828</v>
      </c>
      <c r="D55" s="11">
        <v>4071.5</v>
      </c>
      <c r="E55" s="12">
        <f t="shared" si="0"/>
        <v>397299.96</v>
      </c>
      <c r="F55" s="12">
        <f t="shared" si="1"/>
        <v>4526.45</v>
      </c>
      <c r="G55" s="13">
        <f t="shared" si="2"/>
        <v>1.2154310926906305E-2</v>
      </c>
      <c r="H55" s="13">
        <f t="shared" si="3"/>
        <v>1.5276986501702353E-2</v>
      </c>
    </row>
    <row r="56" spans="1:8" ht="20" customHeight="1">
      <c r="A56" s="6">
        <v>45735</v>
      </c>
      <c r="B56" s="7">
        <v>3035.89990234375</v>
      </c>
      <c r="C56" s="7">
        <v>33.974998474121087</v>
      </c>
      <c r="D56" s="7">
        <v>4117.5</v>
      </c>
      <c r="E56" s="8">
        <f t="shared" si="0"/>
        <v>401894.55</v>
      </c>
      <c r="F56" s="8">
        <f t="shared" si="1"/>
        <v>4497.63</v>
      </c>
      <c r="G56" s="9">
        <f t="shared" si="2"/>
        <v>1.1564536779716684E-2</v>
      </c>
      <c r="H56" s="9">
        <f t="shared" si="3"/>
        <v>-6.367020512763802E-3</v>
      </c>
    </row>
    <row r="57" spans="1:8" ht="20" customHeight="1">
      <c r="A57" s="10">
        <v>45736</v>
      </c>
      <c r="B57" s="11">
        <v>3040</v>
      </c>
      <c r="C57" s="11">
        <v>33.785999298095703</v>
      </c>
      <c r="D57" s="11">
        <v>4150.490234375</v>
      </c>
      <c r="E57" s="12">
        <f t="shared" si="0"/>
        <v>405661.73</v>
      </c>
      <c r="F57" s="12">
        <f t="shared" si="1"/>
        <v>4508.45</v>
      </c>
      <c r="G57" s="13">
        <f t="shared" si="2"/>
        <v>9.3735533363166861E-3</v>
      </c>
      <c r="H57" s="13">
        <f t="shared" si="3"/>
        <v>2.4057114524760172E-3</v>
      </c>
    </row>
    <row r="58" spans="1:8" ht="20" customHeight="1">
      <c r="A58" s="6">
        <v>45737</v>
      </c>
      <c r="B58" s="7">
        <v>3018.199951171875</v>
      </c>
      <c r="C58" s="7">
        <v>33.290000915527337</v>
      </c>
      <c r="D58" s="7">
        <v>4178.39990234375</v>
      </c>
      <c r="E58" s="8">
        <f t="shared" si="0"/>
        <v>405460.99</v>
      </c>
      <c r="F58" s="8">
        <f t="shared" si="1"/>
        <v>4472.13</v>
      </c>
      <c r="G58" s="9">
        <f t="shared" si="2"/>
        <v>-4.9484579183742749E-4</v>
      </c>
      <c r="H58" s="9">
        <f t="shared" si="3"/>
        <v>-8.0559837638212051E-3</v>
      </c>
    </row>
    <row r="59" spans="1:8" ht="20" customHeight="1">
      <c r="A59" s="10">
        <v>45740</v>
      </c>
      <c r="B59" s="11">
        <v>3013.10009765625</v>
      </c>
      <c r="C59" s="11">
        <v>33.264999389648438</v>
      </c>
      <c r="D59" s="11">
        <v>4116.01953125</v>
      </c>
      <c r="E59" s="12">
        <f t="shared" si="0"/>
        <v>398732.88</v>
      </c>
      <c r="F59" s="12">
        <f t="shared" si="1"/>
        <v>4402.0600000000004</v>
      </c>
      <c r="G59" s="13">
        <f t="shared" si="2"/>
        <v>-1.6593729522536769E-2</v>
      </c>
      <c r="H59" s="13">
        <f t="shared" si="3"/>
        <v>-1.5668149181709768E-2</v>
      </c>
    </row>
    <row r="60" spans="1:8" ht="20" customHeight="1">
      <c r="A60" s="6">
        <v>45741</v>
      </c>
      <c r="B60" s="7">
        <v>3023.699951171875</v>
      </c>
      <c r="C60" s="7">
        <v>34.001998901367188</v>
      </c>
      <c r="D60" s="7">
        <v>4143.91015625</v>
      </c>
      <c r="E60" s="8">
        <f t="shared" si="0"/>
        <v>402846.96</v>
      </c>
      <c r="F60" s="8">
        <f t="shared" si="1"/>
        <v>4530.08</v>
      </c>
      <c r="G60" s="9">
        <f t="shared" si="2"/>
        <v>1.0317884996090657E-2</v>
      </c>
      <c r="H60" s="9">
        <f t="shared" si="3"/>
        <v>2.9081838957215375E-2</v>
      </c>
    </row>
    <row r="61" spans="1:8" ht="20" customHeight="1">
      <c r="A61" s="10">
        <v>45742</v>
      </c>
      <c r="B61" s="11">
        <v>3020.89990234375</v>
      </c>
      <c r="C61" s="11">
        <v>34.033000946044922</v>
      </c>
      <c r="D61" s="11">
        <v>4102</v>
      </c>
      <c r="E61" s="12">
        <f t="shared" si="0"/>
        <v>398403.42</v>
      </c>
      <c r="F61" s="12">
        <f t="shared" si="1"/>
        <v>4488.3500000000004</v>
      </c>
      <c r="G61" s="13">
        <f t="shared" si="2"/>
        <v>-1.1030342639299145E-2</v>
      </c>
      <c r="H61" s="13">
        <f t="shared" si="3"/>
        <v>-9.2117578497509008E-3</v>
      </c>
    </row>
    <row r="62" spans="1:8" ht="20" customHeight="1">
      <c r="A62" s="6">
        <v>45743</v>
      </c>
      <c r="B62" s="7">
        <v>3060.199951171875</v>
      </c>
      <c r="C62" s="7">
        <v>34.896999359130859</v>
      </c>
      <c r="D62" s="7">
        <v>4130.18017578125</v>
      </c>
      <c r="E62" s="8">
        <f t="shared" si="0"/>
        <v>406358.98</v>
      </c>
      <c r="F62" s="8">
        <f t="shared" si="1"/>
        <v>4633.92</v>
      </c>
      <c r="G62" s="9">
        <f t="shared" si="2"/>
        <v>1.9968603683171188E-2</v>
      </c>
      <c r="H62" s="9">
        <f t="shared" si="3"/>
        <v>3.2432853944099657E-2</v>
      </c>
    </row>
    <row r="63" spans="1:8" ht="20" customHeight="1">
      <c r="A63" s="10">
        <v>45744</v>
      </c>
      <c r="B63" s="11">
        <v>3086.5</v>
      </c>
      <c r="C63" s="11">
        <v>34.644001007080078</v>
      </c>
      <c r="D63" s="11">
        <v>4166.5</v>
      </c>
      <c r="E63" s="12">
        <f t="shared" si="0"/>
        <v>413455.46</v>
      </c>
      <c r="F63" s="12">
        <f t="shared" si="1"/>
        <v>4640.7700000000004</v>
      </c>
      <c r="G63" s="13">
        <f t="shared" si="2"/>
        <v>1.746357371012212E-2</v>
      </c>
      <c r="H63" s="13">
        <f t="shared" si="3"/>
        <v>1.4782300946068045E-3</v>
      </c>
    </row>
    <row r="64" spans="1:8" ht="20" customHeight="1">
      <c r="A64" s="6">
        <v>45746</v>
      </c>
      <c r="B64" s="7">
        <v>3086.5</v>
      </c>
      <c r="C64" s="7">
        <v>34.644001007080078</v>
      </c>
      <c r="D64" s="7">
        <v>4125.830078125</v>
      </c>
      <c r="E64" s="8">
        <f t="shared" si="0"/>
        <v>409419.65</v>
      </c>
      <c r="F64" s="8">
        <f t="shared" si="1"/>
        <v>4595.4799999999996</v>
      </c>
      <c r="G64" s="9">
        <f t="shared" si="2"/>
        <v>-9.7611723400629364E-3</v>
      </c>
      <c r="H64" s="9">
        <f t="shared" si="3"/>
        <v>-9.7591563468995158E-3</v>
      </c>
    </row>
    <row r="65" spans="1:8" ht="20" customHeight="1">
      <c r="A65" s="10">
        <v>45747</v>
      </c>
      <c r="B65" s="11">
        <v>3122.800048828125</v>
      </c>
      <c r="C65" s="11">
        <v>34.457000732421882</v>
      </c>
      <c r="D65" s="11">
        <v>4182.75</v>
      </c>
      <c r="E65" s="12">
        <f t="shared" si="0"/>
        <v>419949.58</v>
      </c>
      <c r="F65" s="12">
        <f t="shared" si="1"/>
        <v>4633.7299999999996</v>
      </c>
      <c r="G65" s="13">
        <f t="shared" si="2"/>
        <v>2.5719161256671466E-2</v>
      </c>
      <c r="H65" s="13">
        <f t="shared" si="3"/>
        <v>8.3233960326233609E-3</v>
      </c>
    </row>
    <row r="66" spans="1:8" ht="20" customHeight="1">
      <c r="A66" s="6">
        <v>45748</v>
      </c>
      <c r="B66" s="7">
        <v>3118.89990234375</v>
      </c>
      <c r="C66" s="7">
        <v>34.158000946044922</v>
      </c>
      <c r="D66" s="7">
        <v>4146.75</v>
      </c>
      <c r="E66" s="8">
        <f t="shared" ref="E66:E129" si="4">ROUND((B66/31.1034768)*D66, 2)</f>
        <v>415815.19</v>
      </c>
      <c r="F66" s="8">
        <f t="shared" ref="F66:F129" si="5">ROUND((C66/31.1034768)*D66, 2)</f>
        <v>4553.9799999999996</v>
      </c>
      <c r="G66" s="9">
        <f t="shared" si="2"/>
        <v>-9.8449675792032319E-3</v>
      </c>
      <c r="H66" s="9">
        <f t="shared" si="3"/>
        <v>-1.7210756776937803E-2</v>
      </c>
    </row>
    <row r="67" spans="1:8" ht="20" customHeight="1">
      <c r="A67" s="10">
        <v>45749</v>
      </c>
      <c r="B67" s="11">
        <v>3139.89990234375</v>
      </c>
      <c r="C67" s="11">
        <v>34.499000549316413</v>
      </c>
      <c r="D67" s="11">
        <v>4149.5</v>
      </c>
      <c r="E67" s="12">
        <f t="shared" si="4"/>
        <v>418892.55</v>
      </c>
      <c r="F67" s="12">
        <f t="shared" si="5"/>
        <v>4602.5</v>
      </c>
      <c r="G67" s="13">
        <f t="shared" ref="G67:G130" si="6">IFERROR((E67-E66)/E66, 0)</f>
        <v>7.400787835576632E-3</v>
      </c>
      <c r="H67" s="13">
        <f t="shared" ref="H67:H130" si="7">IFERROR((F67-F66)/F66, 0)</f>
        <v>1.0654416576269646E-2</v>
      </c>
    </row>
    <row r="68" spans="1:8" ht="20" customHeight="1">
      <c r="A68" s="6">
        <v>45750</v>
      </c>
      <c r="B68" s="7">
        <v>3097</v>
      </c>
      <c r="C68" s="7">
        <v>31.843999862670898</v>
      </c>
      <c r="D68" s="7">
        <v>4158.2001953125</v>
      </c>
      <c r="E68" s="8">
        <f t="shared" si="4"/>
        <v>414035.58</v>
      </c>
      <c r="F68" s="8">
        <f t="shared" si="5"/>
        <v>4257.2</v>
      </c>
      <c r="G68" s="9">
        <f t="shared" si="6"/>
        <v>-1.1594787255108673E-2</v>
      </c>
      <c r="H68" s="9">
        <f t="shared" si="7"/>
        <v>-7.5024443237371036E-2</v>
      </c>
    </row>
    <row r="69" spans="1:8" ht="20" customHeight="1">
      <c r="A69" s="10">
        <v>45751</v>
      </c>
      <c r="B69" s="11">
        <v>3012</v>
      </c>
      <c r="C69" s="11">
        <v>29.115999221801761</v>
      </c>
      <c r="D69" s="11">
        <v>4158.2001953125</v>
      </c>
      <c r="E69" s="12">
        <f t="shared" si="4"/>
        <v>402671.99</v>
      </c>
      <c r="F69" s="12">
        <f t="shared" si="5"/>
        <v>3892.5</v>
      </c>
      <c r="G69" s="13">
        <f t="shared" si="6"/>
        <v>-2.7445926265564E-2</v>
      </c>
      <c r="H69" s="13">
        <f t="shared" si="7"/>
        <v>-8.5666635347176515E-2</v>
      </c>
    </row>
    <row r="70" spans="1:8" ht="20" customHeight="1">
      <c r="A70" s="6">
        <v>45753</v>
      </c>
      <c r="B70" s="7">
        <v>3012</v>
      </c>
      <c r="C70" s="7">
        <v>29.115999221801761</v>
      </c>
      <c r="D70" s="7">
        <v>4179.9599609375</v>
      </c>
      <c r="E70" s="8">
        <f t="shared" si="4"/>
        <v>404779.17</v>
      </c>
      <c r="F70" s="8">
        <f t="shared" si="5"/>
        <v>3912.87</v>
      </c>
      <c r="G70" s="9">
        <f t="shared" si="6"/>
        <v>5.2329937326904535E-3</v>
      </c>
      <c r="H70" s="9">
        <f t="shared" si="7"/>
        <v>5.233140655105945E-3</v>
      </c>
    </row>
    <row r="71" spans="1:8" ht="20" customHeight="1">
      <c r="A71" s="10">
        <v>45754</v>
      </c>
      <c r="B71" s="11">
        <v>2951.300048828125</v>
      </c>
      <c r="C71" s="11">
        <v>29.510000228881839</v>
      </c>
      <c r="D71" s="11">
        <v>4390.5</v>
      </c>
      <c r="E71" s="12">
        <f t="shared" si="4"/>
        <v>416599.18</v>
      </c>
      <c r="F71" s="12">
        <f t="shared" si="5"/>
        <v>4165.57</v>
      </c>
      <c r="G71" s="13">
        <f t="shared" si="6"/>
        <v>2.9201132064182081E-2</v>
      </c>
      <c r="H71" s="13">
        <f t="shared" si="7"/>
        <v>6.4581752013228091E-2</v>
      </c>
    </row>
    <row r="72" spans="1:8" ht="20" customHeight="1">
      <c r="A72" s="6">
        <v>45755</v>
      </c>
      <c r="B72" s="7">
        <v>2968.39990234375</v>
      </c>
      <c r="C72" s="7">
        <v>29.591999053955082</v>
      </c>
      <c r="D72" s="7">
        <v>4422.5</v>
      </c>
      <c r="E72" s="8">
        <f t="shared" si="4"/>
        <v>422066.92</v>
      </c>
      <c r="F72" s="8">
        <f t="shared" si="5"/>
        <v>4207.59</v>
      </c>
      <c r="G72" s="9">
        <f t="shared" si="6"/>
        <v>1.3124701781698157E-2</v>
      </c>
      <c r="H72" s="9">
        <f t="shared" si="7"/>
        <v>1.0087455018160885E-2</v>
      </c>
    </row>
    <row r="73" spans="1:8" ht="20" customHeight="1">
      <c r="A73" s="10">
        <v>45756</v>
      </c>
      <c r="B73" s="11">
        <v>3056.5</v>
      </c>
      <c r="C73" s="11">
        <v>30.322999954223629</v>
      </c>
      <c r="D73" s="11">
        <v>4300.5</v>
      </c>
      <c r="E73" s="12">
        <f t="shared" si="4"/>
        <v>422604.79</v>
      </c>
      <c r="F73" s="12">
        <f t="shared" si="5"/>
        <v>4192.59</v>
      </c>
      <c r="G73" s="13">
        <f t="shared" si="6"/>
        <v>1.2743713721985019E-3</v>
      </c>
      <c r="H73" s="13">
        <f t="shared" si="7"/>
        <v>-3.5649861322039457E-3</v>
      </c>
    </row>
    <row r="74" spans="1:8" ht="20" customHeight="1">
      <c r="A74" s="6">
        <v>45757</v>
      </c>
      <c r="B74" s="7">
        <v>3155.199951171875</v>
      </c>
      <c r="C74" s="7">
        <v>30.670999526977539</v>
      </c>
      <c r="D74" s="7">
        <v>4369</v>
      </c>
      <c r="E74" s="8">
        <f t="shared" si="4"/>
        <v>443200.25</v>
      </c>
      <c r="F74" s="8">
        <f t="shared" si="5"/>
        <v>4308.25</v>
      </c>
      <c r="G74" s="9">
        <f t="shared" si="6"/>
        <v>4.8734563562329768E-2</v>
      </c>
      <c r="H74" s="9">
        <f t="shared" si="7"/>
        <v>2.7586766175562088E-2</v>
      </c>
    </row>
    <row r="75" spans="1:8" ht="20" customHeight="1">
      <c r="A75" s="10">
        <v>45758</v>
      </c>
      <c r="B75" s="11">
        <v>3222.199951171875</v>
      </c>
      <c r="C75" s="11">
        <v>31.82399940490723</v>
      </c>
      <c r="D75" s="11">
        <v>4369</v>
      </c>
      <c r="E75" s="12">
        <f t="shared" si="4"/>
        <v>452611.51</v>
      </c>
      <c r="F75" s="12">
        <f t="shared" si="5"/>
        <v>4470.21</v>
      </c>
      <c r="G75" s="13">
        <f t="shared" si="6"/>
        <v>2.1234780440669898E-2</v>
      </c>
      <c r="H75" s="13">
        <f t="shared" si="7"/>
        <v>3.7592990193233922E-2</v>
      </c>
    </row>
    <row r="76" spans="1:8" ht="20" customHeight="1">
      <c r="A76" s="6">
        <v>45760</v>
      </c>
      <c r="B76" s="7">
        <v>3222.199951171875</v>
      </c>
      <c r="C76" s="7">
        <v>31.82399940490723</v>
      </c>
      <c r="D76" s="7">
        <v>4277.0498046875</v>
      </c>
      <c r="E76" s="8">
        <f t="shared" si="4"/>
        <v>443085.82</v>
      </c>
      <c r="F76" s="8">
        <f t="shared" si="5"/>
        <v>4376.13</v>
      </c>
      <c r="G76" s="9">
        <f t="shared" si="6"/>
        <v>-2.1046062217905157E-2</v>
      </c>
      <c r="H76" s="9">
        <f t="shared" si="7"/>
        <v>-2.104599112793357E-2</v>
      </c>
    </row>
    <row r="77" spans="1:8" ht="20" customHeight="1">
      <c r="A77" s="10">
        <v>45761</v>
      </c>
      <c r="B77" s="11">
        <v>3204.800048828125</v>
      </c>
      <c r="C77" s="11">
        <v>32.091999053955078</v>
      </c>
      <c r="D77" s="11">
        <v>4307.5</v>
      </c>
      <c r="E77" s="12">
        <f t="shared" si="4"/>
        <v>443830.65</v>
      </c>
      <c r="F77" s="12">
        <f t="shared" si="5"/>
        <v>4444.3999999999996</v>
      </c>
      <c r="G77" s="13">
        <f t="shared" si="6"/>
        <v>1.6810061761850475E-3</v>
      </c>
      <c r="H77" s="13">
        <f t="shared" si="7"/>
        <v>1.5600542031429488E-2</v>
      </c>
    </row>
    <row r="78" spans="1:8" ht="20" customHeight="1">
      <c r="A78" s="6">
        <v>45762</v>
      </c>
      <c r="B78" s="7">
        <v>3218.699951171875</v>
      </c>
      <c r="C78" s="7">
        <v>32.227001190185547</v>
      </c>
      <c r="D78" s="7">
        <v>4349.25</v>
      </c>
      <c r="E78" s="8">
        <f t="shared" si="4"/>
        <v>450076.08</v>
      </c>
      <c r="F78" s="8">
        <f t="shared" si="5"/>
        <v>4506.3500000000004</v>
      </c>
      <c r="G78" s="9">
        <f t="shared" si="6"/>
        <v>1.407165097768708E-2</v>
      </c>
      <c r="H78" s="9">
        <f t="shared" si="7"/>
        <v>1.3938889388894054E-2</v>
      </c>
    </row>
    <row r="79" spans="1:8" ht="20" customHeight="1">
      <c r="A79" s="10">
        <v>45763</v>
      </c>
      <c r="B79" s="11">
        <v>3326.60009765625</v>
      </c>
      <c r="C79" s="11">
        <v>32.925998687744141</v>
      </c>
      <c r="D79" s="11">
        <v>4310.3701171875</v>
      </c>
      <c r="E79" s="12">
        <f t="shared" si="4"/>
        <v>461005.62</v>
      </c>
      <c r="F79" s="12">
        <f t="shared" si="5"/>
        <v>4562.9399999999996</v>
      </c>
      <c r="G79" s="13">
        <f t="shared" si="6"/>
        <v>2.4283761092124646E-2</v>
      </c>
      <c r="H79" s="13">
        <f t="shared" si="7"/>
        <v>1.2557835054977805E-2</v>
      </c>
    </row>
    <row r="80" spans="1:8" ht="20" customHeight="1">
      <c r="A80" s="6">
        <v>45764</v>
      </c>
      <c r="B80" s="7">
        <v>3308.699951171875</v>
      </c>
      <c r="C80" s="7">
        <v>32.419998168945313</v>
      </c>
      <c r="D80" s="7">
        <v>4310.3701171875</v>
      </c>
      <c r="E80" s="8">
        <f t="shared" si="4"/>
        <v>458524.99</v>
      </c>
      <c r="F80" s="8">
        <f t="shared" si="5"/>
        <v>4492.82</v>
      </c>
      <c r="G80" s="9">
        <f t="shared" si="6"/>
        <v>-5.3809105407435264E-3</v>
      </c>
      <c r="H80" s="9">
        <f t="shared" si="7"/>
        <v>-1.5367285127571236E-2</v>
      </c>
    </row>
    <row r="81" spans="1:8" ht="20" customHeight="1">
      <c r="A81" s="10">
        <v>45768</v>
      </c>
      <c r="B81" s="11">
        <v>3406.199951171875</v>
      </c>
      <c r="C81" s="11">
        <v>32.495998382568359</v>
      </c>
      <c r="D81" s="11">
        <v>4279.25</v>
      </c>
      <c r="E81" s="12">
        <f t="shared" si="4"/>
        <v>468628.68</v>
      </c>
      <c r="F81" s="12">
        <f t="shared" si="5"/>
        <v>4470.83</v>
      </c>
      <c r="G81" s="13">
        <f t="shared" si="6"/>
        <v>2.2035200306094554E-2</v>
      </c>
      <c r="H81" s="13">
        <f t="shared" si="7"/>
        <v>-4.8944760751598732E-3</v>
      </c>
    </row>
    <row r="82" spans="1:8" ht="20" customHeight="1">
      <c r="A82" s="6">
        <v>45769</v>
      </c>
      <c r="B82" s="7">
        <v>3400.800048828125</v>
      </c>
      <c r="C82" s="7">
        <v>32.880001068115227</v>
      </c>
      <c r="D82" s="7">
        <v>4293.5</v>
      </c>
      <c r="E82" s="8">
        <f t="shared" si="4"/>
        <v>469443.82</v>
      </c>
      <c r="F82" s="8">
        <f t="shared" si="5"/>
        <v>4538.7299999999996</v>
      </c>
      <c r="G82" s="9">
        <f t="shared" si="6"/>
        <v>1.7394155219010794E-3</v>
      </c>
      <c r="H82" s="9">
        <f t="shared" si="7"/>
        <v>1.5187336579561209E-2</v>
      </c>
    </row>
    <row r="83" spans="1:8" ht="20" customHeight="1">
      <c r="A83" s="10">
        <v>45770</v>
      </c>
      <c r="B83" s="11">
        <v>3276.300048828125</v>
      </c>
      <c r="C83" s="11">
        <v>33.518001556396477</v>
      </c>
      <c r="D83" s="11">
        <v>4300.5</v>
      </c>
      <c r="E83" s="12">
        <f t="shared" si="4"/>
        <v>452995.29</v>
      </c>
      <c r="F83" s="12">
        <f t="shared" si="5"/>
        <v>4634.34</v>
      </c>
      <c r="G83" s="13">
        <f t="shared" si="6"/>
        <v>-3.5038335364602366E-2</v>
      </c>
      <c r="H83" s="13">
        <f t="shared" si="7"/>
        <v>2.106536409964915E-2</v>
      </c>
    </row>
    <row r="84" spans="1:8" ht="20" customHeight="1">
      <c r="A84" s="6">
        <v>45771</v>
      </c>
      <c r="B84" s="7">
        <v>3332</v>
      </c>
      <c r="C84" s="7">
        <v>33.481998443603523</v>
      </c>
      <c r="D84" s="7">
        <v>4255.25</v>
      </c>
      <c r="E84" s="8">
        <f t="shared" si="4"/>
        <v>455849.14</v>
      </c>
      <c r="F84" s="8">
        <f t="shared" si="5"/>
        <v>4580.6499999999996</v>
      </c>
      <c r="G84" s="9">
        <f t="shared" si="6"/>
        <v>6.299955127568843E-3</v>
      </c>
      <c r="H84" s="9">
        <f t="shared" si="7"/>
        <v>-1.1585252700492521E-2</v>
      </c>
    </row>
    <row r="85" spans="1:8" ht="20" customHeight="1">
      <c r="A85" s="10">
        <v>45772</v>
      </c>
      <c r="B85" s="11">
        <v>3282.39990234375</v>
      </c>
      <c r="C85" s="11">
        <v>32.988998413085938</v>
      </c>
      <c r="D85" s="11">
        <v>4255.25</v>
      </c>
      <c r="E85" s="12">
        <f t="shared" si="4"/>
        <v>449063.37</v>
      </c>
      <c r="F85" s="12">
        <f t="shared" si="5"/>
        <v>4513.21</v>
      </c>
      <c r="G85" s="13">
        <f t="shared" si="6"/>
        <v>-1.4885999346187246E-2</v>
      </c>
      <c r="H85" s="13">
        <f t="shared" si="7"/>
        <v>-1.4722801349153419E-2</v>
      </c>
    </row>
    <row r="86" spans="1:8" ht="20" customHeight="1">
      <c r="A86" s="6">
        <v>45774</v>
      </c>
      <c r="B86" s="7">
        <v>3282.39990234375</v>
      </c>
      <c r="C86" s="7">
        <v>32.988998413085938</v>
      </c>
      <c r="D86" s="7">
        <v>4218.14990234375</v>
      </c>
      <c r="E86" s="8">
        <f t="shared" si="4"/>
        <v>445148.14</v>
      </c>
      <c r="F86" s="8">
        <f t="shared" si="5"/>
        <v>4473.8599999999997</v>
      </c>
      <c r="G86" s="9">
        <f t="shared" si="6"/>
        <v>-8.7186581261348064E-3</v>
      </c>
      <c r="H86" s="9">
        <f t="shared" si="7"/>
        <v>-8.718849776544935E-3</v>
      </c>
    </row>
    <row r="87" spans="1:8" ht="20" customHeight="1">
      <c r="A87" s="10">
        <v>45775</v>
      </c>
      <c r="B87" s="11">
        <v>3332.5</v>
      </c>
      <c r="C87" s="11">
        <v>32.990001678466797</v>
      </c>
      <c r="D87" s="11">
        <v>4215.25</v>
      </c>
      <c r="E87" s="12">
        <f t="shared" si="4"/>
        <v>451631.85</v>
      </c>
      <c r="F87" s="12">
        <f t="shared" si="5"/>
        <v>4470.92</v>
      </c>
      <c r="G87" s="13">
        <f t="shared" si="6"/>
        <v>1.4565286064095342E-2</v>
      </c>
      <c r="H87" s="13">
        <f t="shared" si="7"/>
        <v>-6.5715064843325447E-4</v>
      </c>
    </row>
    <row r="88" spans="1:8" ht="20" customHeight="1">
      <c r="A88" s="6">
        <v>45776</v>
      </c>
      <c r="B88" s="7">
        <v>3318.800048828125</v>
      </c>
      <c r="C88" s="7">
        <v>33.275001525878913</v>
      </c>
      <c r="D88" s="7">
        <v>4195.25</v>
      </c>
      <c r="E88" s="8">
        <f t="shared" si="4"/>
        <v>447641.14</v>
      </c>
      <c r="F88" s="8">
        <f t="shared" si="5"/>
        <v>4488.1499999999996</v>
      </c>
      <c r="G88" s="9">
        <f t="shared" si="6"/>
        <v>-8.836201432649099E-3</v>
      </c>
      <c r="H88" s="9">
        <f t="shared" si="7"/>
        <v>3.8537929553647938E-3</v>
      </c>
    </row>
    <row r="89" spans="1:8" ht="20" customHeight="1">
      <c r="A89" s="10">
        <v>45777</v>
      </c>
      <c r="B89" s="11">
        <v>3305</v>
      </c>
      <c r="C89" s="11">
        <v>32.530998229980469</v>
      </c>
      <c r="D89" s="11">
        <v>4241.35009765625</v>
      </c>
      <c r="E89" s="12">
        <f t="shared" si="4"/>
        <v>450678.3</v>
      </c>
      <c r="F89" s="12">
        <f t="shared" si="5"/>
        <v>4436.01</v>
      </c>
      <c r="G89" s="13">
        <f t="shared" si="6"/>
        <v>6.784809814397252E-3</v>
      </c>
      <c r="H89" s="13">
        <f t="shared" si="7"/>
        <v>-1.1617258781457709E-2</v>
      </c>
    </row>
    <row r="90" spans="1:8" ht="20" customHeight="1">
      <c r="A90" s="6">
        <v>45778</v>
      </c>
      <c r="B90" s="7">
        <v>3210</v>
      </c>
      <c r="C90" s="7">
        <v>32.188999176025391</v>
      </c>
      <c r="D90" s="7">
        <v>4197.08984375</v>
      </c>
      <c r="E90" s="8">
        <f t="shared" si="4"/>
        <v>433156.03</v>
      </c>
      <c r="F90" s="8">
        <f t="shared" si="5"/>
        <v>4343.57</v>
      </c>
      <c r="G90" s="9">
        <f t="shared" si="6"/>
        <v>-3.8879772999942441E-2</v>
      </c>
      <c r="H90" s="9">
        <f t="shared" si="7"/>
        <v>-2.0838546351338368E-2</v>
      </c>
    </row>
    <row r="91" spans="1:8" ht="20" customHeight="1">
      <c r="A91" s="10">
        <v>45779</v>
      </c>
      <c r="B91" s="11">
        <v>3231.89990234375</v>
      </c>
      <c r="C91" s="11">
        <v>31.98900032043457</v>
      </c>
      <c r="D91" s="11">
        <v>4197.08984375</v>
      </c>
      <c r="E91" s="12">
        <f t="shared" si="4"/>
        <v>436111.19</v>
      </c>
      <c r="F91" s="12">
        <f t="shared" si="5"/>
        <v>4316.58</v>
      </c>
      <c r="G91" s="13">
        <f t="shared" si="6"/>
        <v>6.8223914601857772E-3</v>
      </c>
      <c r="H91" s="13">
        <f t="shared" si="7"/>
        <v>-6.2137826718574318E-3</v>
      </c>
    </row>
    <row r="92" spans="1:8" ht="20" customHeight="1">
      <c r="A92" s="6">
        <v>45781</v>
      </c>
      <c r="B92" s="7">
        <v>3231.89990234375</v>
      </c>
      <c r="C92" s="7">
        <v>31.98900032043457</v>
      </c>
      <c r="D92" s="7">
        <v>4266.89990234375</v>
      </c>
      <c r="E92" s="8">
        <f t="shared" si="4"/>
        <v>443365.01</v>
      </c>
      <c r="F92" s="8">
        <f t="shared" si="5"/>
        <v>4388.38</v>
      </c>
      <c r="G92" s="9">
        <f t="shared" si="6"/>
        <v>1.663296004856011E-2</v>
      </c>
      <c r="H92" s="9">
        <f t="shared" si="7"/>
        <v>1.6633538588419577E-2</v>
      </c>
    </row>
    <row r="93" spans="1:8" ht="20" customHeight="1">
      <c r="A93" s="10">
        <v>45782</v>
      </c>
      <c r="B93" s="11">
        <v>3311.300048828125</v>
      </c>
      <c r="C93" s="11">
        <v>32.205001831054688</v>
      </c>
      <c r="D93" s="11">
        <v>4295</v>
      </c>
      <c r="E93" s="12">
        <f t="shared" si="4"/>
        <v>457249</v>
      </c>
      <c r="F93" s="12">
        <f t="shared" si="5"/>
        <v>4447.1099999999997</v>
      </c>
      <c r="G93" s="13">
        <f t="shared" si="6"/>
        <v>3.1315033182253128E-2</v>
      </c>
      <c r="H93" s="13">
        <f t="shared" si="7"/>
        <v>1.3383070745924364E-2</v>
      </c>
    </row>
    <row r="94" spans="1:8" ht="20" customHeight="1">
      <c r="A94" s="6">
        <v>45783</v>
      </c>
      <c r="B94" s="7">
        <v>3411.39990234375</v>
      </c>
      <c r="C94" s="7">
        <v>33.112998962402337</v>
      </c>
      <c r="D94" s="7">
        <v>4300.85986328125</v>
      </c>
      <c r="E94" s="8">
        <f t="shared" si="4"/>
        <v>471714.24</v>
      </c>
      <c r="F94" s="8">
        <f t="shared" si="5"/>
        <v>4578.7299999999996</v>
      </c>
      <c r="G94" s="9">
        <f t="shared" si="6"/>
        <v>3.1635367163186774E-2</v>
      </c>
      <c r="H94" s="9">
        <f t="shared" si="7"/>
        <v>2.9596749349577567E-2</v>
      </c>
    </row>
    <row r="95" spans="1:8" ht="20" customHeight="1">
      <c r="A95" s="10">
        <v>45784</v>
      </c>
      <c r="B95" s="11">
        <v>3381.39990234375</v>
      </c>
      <c r="C95" s="11">
        <v>32.530998229980469</v>
      </c>
      <c r="D95" s="11">
        <v>4297.14990234375</v>
      </c>
      <c r="E95" s="12">
        <f t="shared" si="4"/>
        <v>467162.64</v>
      </c>
      <c r="F95" s="12">
        <f t="shared" si="5"/>
        <v>4494.37</v>
      </c>
      <c r="G95" s="13">
        <f t="shared" si="6"/>
        <v>-9.64906211014528E-3</v>
      </c>
      <c r="H95" s="13">
        <f t="shared" si="7"/>
        <v>-1.8424322901765267E-2</v>
      </c>
    </row>
    <row r="96" spans="1:8" ht="20" customHeight="1">
      <c r="A96" s="6">
        <v>45785</v>
      </c>
      <c r="B96" s="7">
        <v>3296.60009765625</v>
      </c>
      <c r="C96" s="7">
        <v>32.377998352050781</v>
      </c>
      <c r="D96" s="7">
        <v>4250.89990234375</v>
      </c>
      <c r="E96" s="8">
        <f t="shared" si="4"/>
        <v>450545.03</v>
      </c>
      <c r="F96" s="8">
        <f t="shared" si="5"/>
        <v>4425.09</v>
      </c>
      <c r="G96" s="9">
        <f t="shared" si="6"/>
        <v>-3.557135904532089E-2</v>
      </c>
      <c r="H96" s="9">
        <f t="shared" si="7"/>
        <v>-1.5414841234700247E-2</v>
      </c>
    </row>
    <row r="97" spans="1:8" ht="20" customHeight="1">
      <c r="A97" s="10">
        <v>45786</v>
      </c>
      <c r="B97" s="11">
        <v>3335.39990234375</v>
      </c>
      <c r="C97" s="11">
        <v>32.675998687744141</v>
      </c>
      <c r="D97" s="11">
        <v>4250.89990234375</v>
      </c>
      <c r="E97" s="12">
        <f t="shared" si="4"/>
        <v>455847.79</v>
      </c>
      <c r="F97" s="12">
        <f t="shared" si="5"/>
        <v>4465.82</v>
      </c>
      <c r="G97" s="13">
        <f t="shared" si="6"/>
        <v>1.1769655965353676E-2</v>
      </c>
      <c r="H97" s="13">
        <f t="shared" si="7"/>
        <v>9.2043325672471216E-3</v>
      </c>
    </row>
    <row r="98" spans="1:8" ht="20" customHeight="1">
      <c r="A98" s="6">
        <v>45788</v>
      </c>
      <c r="B98" s="7">
        <v>3335.39990234375</v>
      </c>
      <c r="C98" s="7">
        <v>32.675998687744141</v>
      </c>
      <c r="D98" s="7">
        <v>4246.9501953125</v>
      </c>
      <c r="E98" s="8">
        <f t="shared" si="4"/>
        <v>455424.24</v>
      </c>
      <c r="F98" s="8">
        <f t="shared" si="5"/>
        <v>4461.67</v>
      </c>
      <c r="G98" s="9">
        <f t="shared" si="6"/>
        <v>-9.2914786314964558E-4</v>
      </c>
      <c r="H98" s="9">
        <f t="shared" si="7"/>
        <v>-9.2928062483477538E-4</v>
      </c>
    </row>
    <row r="99" spans="1:8" ht="20" customHeight="1">
      <c r="A99" s="10">
        <v>45789</v>
      </c>
      <c r="B99" s="11">
        <v>3220</v>
      </c>
      <c r="C99" s="11">
        <v>32.38800048828125</v>
      </c>
      <c r="D99" s="11">
        <v>4223</v>
      </c>
      <c r="E99" s="12">
        <f t="shared" si="4"/>
        <v>437187.78</v>
      </c>
      <c r="F99" s="12">
        <f t="shared" si="5"/>
        <v>4397.3999999999996</v>
      </c>
      <c r="G99" s="13">
        <f t="shared" si="6"/>
        <v>-4.0042796141022186E-2</v>
      </c>
      <c r="H99" s="13">
        <f t="shared" si="7"/>
        <v>-1.4404920130803137E-2</v>
      </c>
    </row>
    <row r="100" spans="1:8" ht="20" customHeight="1">
      <c r="A100" s="6">
        <v>45790</v>
      </c>
      <c r="B100" s="7">
        <v>3240.300048828125</v>
      </c>
      <c r="C100" s="7">
        <v>32.868000030517578</v>
      </c>
      <c r="D100" s="7">
        <v>4210</v>
      </c>
      <c r="E100" s="8">
        <f t="shared" si="4"/>
        <v>438589.66</v>
      </c>
      <c r="F100" s="8">
        <f t="shared" si="5"/>
        <v>4448.84</v>
      </c>
      <c r="G100" s="9">
        <f t="shared" si="6"/>
        <v>3.2065855088629111E-3</v>
      </c>
      <c r="H100" s="9">
        <f t="shared" si="7"/>
        <v>1.1697821439941901E-2</v>
      </c>
    </row>
    <row r="101" spans="1:8" ht="20" customHeight="1">
      <c r="A101" s="10">
        <v>45791</v>
      </c>
      <c r="B101" s="11">
        <v>3181.39990234375</v>
      </c>
      <c r="C101" s="11">
        <v>32.226001739501953</v>
      </c>
      <c r="D101" s="11">
        <v>4205</v>
      </c>
      <c r="E101" s="12">
        <f t="shared" si="4"/>
        <v>430105.83</v>
      </c>
      <c r="F101" s="12">
        <f t="shared" si="5"/>
        <v>4356.76</v>
      </c>
      <c r="G101" s="13">
        <f t="shared" si="6"/>
        <v>-1.9343433677848125E-2</v>
      </c>
      <c r="H101" s="13">
        <f t="shared" si="7"/>
        <v>-2.0697530142688863E-2</v>
      </c>
    </row>
    <row r="102" spans="1:8" ht="20" customHeight="1">
      <c r="A102" s="6">
        <v>45792</v>
      </c>
      <c r="B102" s="7">
        <v>3220.699951171875</v>
      </c>
      <c r="C102" s="7">
        <v>32.480998992919922</v>
      </c>
      <c r="D102" s="7">
        <v>4199.75</v>
      </c>
      <c r="E102" s="8">
        <f t="shared" si="4"/>
        <v>434875.33</v>
      </c>
      <c r="F102" s="8">
        <f t="shared" si="5"/>
        <v>4385.75</v>
      </c>
      <c r="G102" s="9">
        <f t="shared" si="6"/>
        <v>1.108913124939506E-2</v>
      </c>
      <c r="H102" s="9">
        <f t="shared" si="7"/>
        <v>6.6540273046942636E-3</v>
      </c>
    </row>
    <row r="103" spans="1:8" ht="20" customHeight="1">
      <c r="A103" s="10">
        <v>45793</v>
      </c>
      <c r="B103" s="11">
        <v>3182</v>
      </c>
      <c r="C103" s="11">
        <v>32.158000946044922</v>
      </c>
      <c r="D103" s="11">
        <v>4199.75</v>
      </c>
      <c r="E103" s="12">
        <f t="shared" si="4"/>
        <v>429649.86</v>
      </c>
      <c r="F103" s="12">
        <f t="shared" si="5"/>
        <v>4342.1400000000003</v>
      </c>
      <c r="G103" s="13">
        <f t="shared" si="6"/>
        <v>-1.2016018475915914E-2</v>
      </c>
      <c r="H103" s="13">
        <f t="shared" si="7"/>
        <v>-9.9435672347944308E-3</v>
      </c>
    </row>
    <row r="104" spans="1:8" ht="20" customHeight="1">
      <c r="A104" s="6">
        <v>45795</v>
      </c>
      <c r="B104" s="7">
        <v>3182</v>
      </c>
      <c r="C104" s="7">
        <v>32.158000946044922</v>
      </c>
      <c r="D104" s="7">
        <v>4212.60986328125</v>
      </c>
      <c r="E104" s="8">
        <f t="shared" si="4"/>
        <v>430965.47</v>
      </c>
      <c r="F104" s="8">
        <f t="shared" si="5"/>
        <v>4355.43</v>
      </c>
      <c r="G104" s="9">
        <f t="shared" si="6"/>
        <v>3.0620515039850964E-3</v>
      </c>
      <c r="H104" s="9">
        <f t="shared" si="7"/>
        <v>3.0607027871049674E-3</v>
      </c>
    </row>
    <row r="105" spans="1:8" ht="20" customHeight="1">
      <c r="A105" s="10">
        <v>45796</v>
      </c>
      <c r="B105" s="11">
        <v>3228.89990234375</v>
      </c>
      <c r="C105" s="11">
        <v>32.312999725341797</v>
      </c>
      <c r="D105" s="11">
        <v>4168.25</v>
      </c>
      <c r="E105" s="12">
        <f t="shared" si="4"/>
        <v>432712.46</v>
      </c>
      <c r="F105" s="12">
        <f t="shared" si="5"/>
        <v>4330.34</v>
      </c>
      <c r="G105" s="13">
        <f t="shared" si="6"/>
        <v>4.0536658308148194E-3</v>
      </c>
      <c r="H105" s="13">
        <f t="shared" si="7"/>
        <v>-5.760625242513401E-3</v>
      </c>
    </row>
    <row r="106" spans="1:8" ht="20" customHeight="1">
      <c r="A106" s="6">
        <v>45797</v>
      </c>
      <c r="B106" s="7">
        <v>3280.300048828125</v>
      </c>
      <c r="C106" s="7">
        <v>32.979999542236328</v>
      </c>
      <c r="D106" s="7">
        <v>4171.9501953125</v>
      </c>
      <c r="E106" s="8">
        <f t="shared" si="4"/>
        <v>439990.95</v>
      </c>
      <c r="F106" s="8">
        <f t="shared" si="5"/>
        <v>4423.6499999999996</v>
      </c>
      <c r="G106" s="9">
        <f t="shared" si="6"/>
        <v>1.6820615704017376E-2</v>
      </c>
      <c r="H106" s="9">
        <f t="shared" si="7"/>
        <v>2.1547961591930308E-2</v>
      </c>
    </row>
    <row r="107" spans="1:8" ht="20" customHeight="1">
      <c r="A107" s="10">
        <v>45798</v>
      </c>
      <c r="B107" s="11">
        <v>3309.300048828125</v>
      </c>
      <c r="C107" s="11">
        <v>33.463001251220703</v>
      </c>
      <c r="D107" s="11">
        <v>4171</v>
      </c>
      <c r="E107" s="12">
        <f t="shared" si="4"/>
        <v>443779.66</v>
      </c>
      <c r="F107" s="12">
        <f t="shared" si="5"/>
        <v>4487.41</v>
      </c>
      <c r="G107" s="13">
        <f t="shared" si="6"/>
        <v>8.610881655633968E-3</v>
      </c>
      <c r="H107" s="13">
        <f t="shared" si="7"/>
        <v>1.4413436867745013E-2</v>
      </c>
    </row>
    <row r="108" spans="1:8" ht="20" customHeight="1">
      <c r="A108" s="6">
        <v>45799</v>
      </c>
      <c r="B108" s="7">
        <v>3292.300048828125</v>
      </c>
      <c r="C108" s="7">
        <v>33.047000885009773</v>
      </c>
      <c r="D108" s="7">
        <v>4174.64990234375</v>
      </c>
      <c r="E108" s="8">
        <f t="shared" si="4"/>
        <v>441886.29</v>
      </c>
      <c r="F108" s="8">
        <f t="shared" si="5"/>
        <v>4435.51</v>
      </c>
      <c r="G108" s="9">
        <f t="shared" si="6"/>
        <v>-4.2664641277159829E-3</v>
      </c>
      <c r="H108" s="9">
        <f t="shared" si="7"/>
        <v>-1.1565691568187359E-2</v>
      </c>
    </row>
    <row r="109" spans="1:8" ht="20" customHeight="1">
      <c r="A109" s="10">
        <v>45800</v>
      </c>
      <c r="B109" s="11">
        <v>3363.60009765625</v>
      </c>
      <c r="C109" s="11">
        <v>33.442001342773438</v>
      </c>
      <c r="D109" s="11">
        <v>4174.64990234375</v>
      </c>
      <c r="E109" s="12">
        <f t="shared" si="4"/>
        <v>451456.05</v>
      </c>
      <c r="F109" s="12">
        <f t="shared" si="5"/>
        <v>4488.5200000000004</v>
      </c>
      <c r="G109" s="13">
        <f t="shared" si="6"/>
        <v>2.1656612156942028E-2</v>
      </c>
      <c r="H109" s="13">
        <f t="shared" si="7"/>
        <v>1.1951275050670659E-2</v>
      </c>
    </row>
    <row r="110" spans="1:8" ht="20" customHeight="1">
      <c r="A110" s="6">
        <v>45802</v>
      </c>
      <c r="B110" s="7">
        <v>3363.60009765625</v>
      </c>
      <c r="C110" s="7">
        <v>33.442001342773438</v>
      </c>
      <c r="D110" s="7">
        <v>4156.81005859375</v>
      </c>
      <c r="E110" s="8">
        <f t="shared" si="4"/>
        <v>449526.81</v>
      </c>
      <c r="F110" s="8">
        <f t="shared" si="5"/>
        <v>4469.34</v>
      </c>
      <c r="G110" s="9">
        <f t="shared" si="6"/>
        <v>-4.2733727901087841E-3</v>
      </c>
      <c r="H110" s="9">
        <f t="shared" si="7"/>
        <v>-4.2731234348961991E-3</v>
      </c>
    </row>
    <row r="111" spans="1:8" ht="20" customHeight="1">
      <c r="A111" s="10">
        <v>45803</v>
      </c>
      <c r="B111" s="11">
        <v>3363.60009765625</v>
      </c>
      <c r="C111" s="11">
        <v>33.442001342773438</v>
      </c>
      <c r="D111" s="11">
        <v>4150.25</v>
      </c>
      <c r="E111" s="12">
        <f t="shared" si="4"/>
        <v>448817.39</v>
      </c>
      <c r="F111" s="12">
        <f t="shared" si="5"/>
        <v>4462.29</v>
      </c>
      <c r="G111" s="13">
        <f t="shared" si="6"/>
        <v>-1.5781483644990689E-3</v>
      </c>
      <c r="H111" s="13">
        <f t="shared" si="7"/>
        <v>-1.5774141148357883E-3</v>
      </c>
    </row>
    <row r="112" spans="1:8" ht="20" customHeight="1">
      <c r="A112" s="6">
        <v>45804</v>
      </c>
      <c r="B112" s="7">
        <v>3299.10009765625</v>
      </c>
      <c r="C112" s="7">
        <v>33.145999908447273</v>
      </c>
      <c r="D112" s="7">
        <v>4111.25</v>
      </c>
      <c r="E112" s="8">
        <f t="shared" si="4"/>
        <v>436074.25</v>
      </c>
      <c r="F112" s="8">
        <f t="shared" si="5"/>
        <v>4381.2299999999996</v>
      </c>
      <c r="G112" s="9">
        <f t="shared" si="6"/>
        <v>-2.8392705550023392E-2</v>
      </c>
      <c r="H112" s="9">
        <f t="shared" si="7"/>
        <v>-1.8165560732269843E-2</v>
      </c>
    </row>
    <row r="113" spans="1:8" ht="20" customHeight="1">
      <c r="A113" s="10">
        <v>45805</v>
      </c>
      <c r="B113" s="11">
        <v>3293.60009765625</v>
      </c>
      <c r="C113" s="11">
        <v>33</v>
      </c>
      <c r="D113" s="11">
        <v>4123.47998046875</v>
      </c>
      <c r="E113" s="12">
        <f t="shared" si="4"/>
        <v>436642.31</v>
      </c>
      <c r="F113" s="12">
        <f t="shared" si="5"/>
        <v>4374.91</v>
      </c>
      <c r="G113" s="13">
        <f t="shared" si="6"/>
        <v>1.3026680662754054E-3</v>
      </c>
      <c r="H113" s="13">
        <f t="shared" si="7"/>
        <v>-1.4425172839590045E-3</v>
      </c>
    </row>
    <row r="114" spans="1:8" ht="20" customHeight="1">
      <c r="A114" s="6">
        <v>45806</v>
      </c>
      <c r="B114" s="7">
        <v>3317.10009765625</v>
      </c>
      <c r="C114" s="7">
        <v>33.283000946044922</v>
      </c>
      <c r="D114" s="7">
        <v>4128.75</v>
      </c>
      <c r="E114" s="8">
        <f t="shared" si="4"/>
        <v>440319.81</v>
      </c>
      <c r="F114" s="8">
        <f t="shared" si="5"/>
        <v>4418.07</v>
      </c>
      <c r="G114" s="9">
        <f t="shared" si="6"/>
        <v>8.4222255053570047E-3</v>
      </c>
      <c r="H114" s="9">
        <f t="shared" si="7"/>
        <v>9.8653458013993108E-3</v>
      </c>
    </row>
    <row r="115" spans="1:8" ht="20" customHeight="1">
      <c r="A115" s="10">
        <v>45807</v>
      </c>
      <c r="B115" s="11">
        <v>3288.89990234375</v>
      </c>
      <c r="C115" s="11">
        <v>32.891998291015618</v>
      </c>
      <c r="D115" s="11">
        <v>4128.75</v>
      </c>
      <c r="E115" s="12">
        <f t="shared" si="4"/>
        <v>436576.45</v>
      </c>
      <c r="F115" s="12">
        <f t="shared" si="5"/>
        <v>4366.16</v>
      </c>
      <c r="G115" s="13">
        <f t="shared" si="6"/>
        <v>-8.5014571567878956E-3</v>
      </c>
      <c r="H115" s="13">
        <f t="shared" si="7"/>
        <v>-1.174947431797139E-2</v>
      </c>
    </row>
    <row r="116" spans="1:8" ht="20" customHeight="1">
      <c r="A116" s="6">
        <v>45809</v>
      </c>
      <c r="B116" s="7">
        <v>3288.89990234375</v>
      </c>
      <c r="C116" s="7">
        <v>32.891998291015618</v>
      </c>
      <c r="D116" s="7">
        <v>4068.934326171875</v>
      </c>
      <c r="E116" s="8">
        <f t="shared" si="4"/>
        <v>430251.51</v>
      </c>
      <c r="F116" s="8">
        <f t="shared" si="5"/>
        <v>4302.91</v>
      </c>
      <c r="G116" s="9">
        <f t="shared" si="6"/>
        <v>-1.4487588599888981E-2</v>
      </c>
      <c r="H116" s="9">
        <f t="shared" si="7"/>
        <v>-1.4486413690748851E-2</v>
      </c>
    </row>
    <row r="117" spans="1:8" ht="20" customHeight="1">
      <c r="A117" s="10">
        <v>45810</v>
      </c>
      <c r="B117" s="11">
        <v>3370.60009765625</v>
      </c>
      <c r="C117" s="11">
        <v>34.562999725341797</v>
      </c>
      <c r="D117" s="11">
        <v>4130.27001953125</v>
      </c>
      <c r="E117" s="12">
        <f t="shared" si="4"/>
        <v>447586.25</v>
      </c>
      <c r="F117" s="12">
        <f t="shared" si="5"/>
        <v>4589.66</v>
      </c>
      <c r="G117" s="13">
        <f t="shared" si="6"/>
        <v>4.0289783062004807E-2</v>
      </c>
      <c r="H117" s="13">
        <f t="shared" si="7"/>
        <v>6.6640947637761419E-2</v>
      </c>
    </row>
    <row r="118" spans="1:8" ht="20" customHeight="1">
      <c r="A118" s="6">
        <v>45811</v>
      </c>
      <c r="B118" s="7">
        <v>3350.199951171875</v>
      </c>
      <c r="C118" s="7">
        <v>34.502998352050781</v>
      </c>
      <c r="D118" s="7">
        <v>4124.1201171875</v>
      </c>
      <c r="E118" s="8">
        <f t="shared" si="4"/>
        <v>444214.87</v>
      </c>
      <c r="F118" s="8">
        <f t="shared" si="5"/>
        <v>4574.87</v>
      </c>
      <c r="G118" s="9">
        <f t="shared" si="6"/>
        <v>-7.532358288486308E-3</v>
      </c>
      <c r="H118" s="9">
        <f t="shared" si="7"/>
        <v>-3.2224609230313279E-3</v>
      </c>
    </row>
    <row r="119" spans="1:8" ht="20" customHeight="1">
      <c r="A119" s="10">
        <v>45812</v>
      </c>
      <c r="B119" s="11">
        <v>3373.5</v>
      </c>
      <c r="C119" s="11">
        <v>34.519001007080078</v>
      </c>
      <c r="D119" s="11">
        <v>4106.919921875</v>
      </c>
      <c r="E119" s="12">
        <f t="shared" si="4"/>
        <v>445438.77</v>
      </c>
      <c r="F119" s="12">
        <f t="shared" si="5"/>
        <v>4557.91</v>
      </c>
      <c r="G119" s="13">
        <f t="shared" si="6"/>
        <v>2.7551981769543717E-3</v>
      </c>
      <c r="H119" s="13">
        <f t="shared" si="7"/>
        <v>-3.7072091665992777E-3</v>
      </c>
    </row>
    <row r="120" spans="1:8" ht="20" customHeight="1">
      <c r="A120" s="6">
        <v>45813</v>
      </c>
      <c r="B120" s="7">
        <v>3350.699951171875</v>
      </c>
      <c r="C120" s="7">
        <v>35.688999176025391</v>
      </c>
      <c r="D120" s="7">
        <v>4104.5</v>
      </c>
      <c r="E120" s="8">
        <f t="shared" si="4"/>
        <v>442167.54</v>
      </c>
      <c r="F120" s="8">
        <f t="shared" si="5"/>
        <v>4709.62</v>
      </c>
      <c r="G120" s="9">
        <f t="shared" si="6"/>
        <v>-7.3438376277844865E-3</v>
      </c>
      <c r="H120" s="9">
        <f t="shared" si="7"/>
        <v>3.328499246365111E-2</v>
      </c>
    </row>
    <row r="121" spans="1:8" ht="20" customHeight="1">
      <c r="A121" s="10">
        <v>45814</v>
      </c>
      <c r="B121" s="11">
        <v>3322.699951171875</v>
      </c>
      <c r="C121" s="11">
        <v>36.025001525878913</v>
      </c>
      <c r="D121" s="11">
        <v>4104.5</v>
      </c>
      <c r="E121" s="12">
        <f t="shared" si="4"/>
        <v>438472.59</v>
      </c>
      <c r="F121" s="12">
        <f t="shared" si="5"/>
        <v>4753.96</v>
      </c>
      <c r="G121" s="13">
        <f t="shared" si="6"/>
        <v>-8.356447874938883E-3</v>
      </c>
      <c r="H121" s="13">
        <f t="shared" si="7"/>
        <v>9.4147723170871847E-3</v>
      </c>
    </row>
    <row r="122" spans="1:8" ht="20" customHeight="1">
      <c r="A122" s="6">
        <v>45816</v>
      </c>
      <c r="B122" s="7">
        <v>3322.699951171875</v>
      </c>
      <c r="C122" s="7">
        <v>36.025001525878913</v>
      </c>
      <c r="D122" s="7">
        <v>4117.85986328125</v>
      </c>
      <c r="E122" s="8">
        <f t="shared" si="4"/>
        <v>439899.79</v>
      </c>
      <c r="F122" s="8">
        <f t="shared" si="5"/>
        <v>4769.43</v>
      </c>
      <c r="G122" s="9">
        <f t="shared" si="6"/>
        <v>3.254935502353644E-3</v>
      </c>
      <c r="H122" s="9">
        <f t="shared" si="7"/>
        <v>3.2541291891392131E-3</v>
      </c>
    </row>
    <row r="123" spans="1:8" ht="20" customHeight="1">
      <c r="A123" s="10">
        <v>45817</v>
      </c>
      <c r="B123" s="11">
        <v>3332.10009765625</v>
      </c>
      <c r="C123" s="11">
        <v>36.687999725341797</v>
      </c>
      <c r="D123" s="11">
        <v>4137.81005859375</v>
      </c>
      <c r="E123" s="12">
        <f t="shared" si="4"/>
        <v>443281.55</v>
      </c>
      <c r="F123" s="12">
        <f t="shared" si="5"/>
        <v>4880.74</v>
      </c>
      <c r="G123" s="13">
        <f t="shared" si="6"/>
        <v>7.6875690256637983E-3</v>
      </c>
      <c r="H123" s="13">
        <f t="shared" si="7"/>
        <v>2.3338218613125569E-2</v>
      </c>
    </row>
    <row r="124" spans="1:8" ht="20" customHeight="1">
      <c r="A124" s="6">
        <v>45818</v>
      </c>
      <c r="B124" s="7">
        <v>3320.89990234375</v>
      </c>
      <c r="C124" s="7">
        <v>36.541999816894531</v>
      </c>
      <c r="D124" s="7">
        <v>4201.25</v>
      </c>
      <c r="E124" s="8">
        <f t="shared" si="4"/>
        <v>448564.99</v>
      </c>
      <c r="F124" s="8">
        <f t="shared" si="5"/>
        <v>4935.8500000000004</v>
      </c>
      <c r="G124" s="9">
        <f t="shared" si="6"/>
        <v>1.1918926018915072E-2</v>
      </c>
      <c r="H124" s="9">
        <f t="shared" si="7"/>
        <v>1.1291320578436997E-2</v>
      </c>
    </row>
    <row r="125" spans="1:8" ht="20" customHeight="1">
      <c r="A125" s="10">
        <v>45819</v>
      </c>
      <c r="B125" s="11">
        <v>3321.300048828125</v>
      </c>
      <c r="C125" s="11">
        <v>36.166000366210938</v>
      </c>
      <c r="D125" s="11">
        <v>4176.75</v>
      </c>
      <c r="E125" s="12">
        <f t="shared" si="4"/>
        <v>446002.87</v>
      </c>
      <c r="F125" s="12">
        <f t="shared" si="5"/>
        <v>4856.57</v>
      </c>
      <c r="G125" s="13">
        <f t="shared" si="6"/>
        <v>-5.7118144686235887E-3</v>
      </c>
      <c r="H125" s="13">
        <f t="shared" si="7"/>
        <v>-1.6062076440734756E-2</v>
      </c>
    </row>
    <row r="126" spans="1:8" ht="20" customHeight="1">
      <c r="A126" s="6">
        <v>45820</v>
      </c>
      <c r="B126" s="7">
        <v>3380.89990234375</v>
      </c>
      <c r="C126" s="7">
        <v>36.213001251220703</v>
      </c>
      <c r="D126" s="7">
        <v>4155.25</v>
      </c>
      <c r="E126" s="8">
        <f t="shared" si="4"/>
        <v>451669.26</v>
      </c>
      <c r="F126" s="8">
        <f t="shared" si="5"/>
        <v>4837.8500000000004</v>
      </c>
      <c r="G126" s="9">
        <f t="shared" si="6"/>
        <v>1.2704828558614463E-2</v>
      </c>
      <c r="H126" s="9">
        <f t="shared" si="7"/>
        <v>-3.854572259845806E-3</v>
      </c>
    </row>
    <row r="127" spans="1:8" ht="20" customHeight="1">
      <c r="A127" s="10">
        <v>45821</v>
      </c>
      <c r="B127" s="11">
        <v>3431.199951171875</v>
      </c>
      <c r="C127" s="11">
        <v>36.280998229980469</v>
      </c>
      <c r="D127" s="11">
        <v>4155.25</v>
      </c>
      <c r="E127" s="12">
        <f t="shared" si="4"/>
        <v>458389.06</v>
      </c>
      <c r="F127" s="12">
        <f t="shared" si="5"/>
        <v>4846.9399999999996</v>
      </c>
      <c r="G127" s="13">
        <f t="shared" si="6"/>
        <v>1.4877700554604908E-2</v>
      </c>
      <c r="H127" s="13">
        <f t="shared" si="7"/>
        <v>1.8789338239092231E-3</v>
      </c>
    </row>
    <row r="128" spans="1:8" ht="20" customHeight="1">
      <c r="A128" s="6">
        <v>45823</v>
      </c>
      <c r="B128" s="7">
        <v>3431.199951171875</v>
      </c>
      <c r="C128" s="7">
        <v>36.280998229980469</v>
      </c>
      <c r="D128" s="7">
        <v>4092.25048828125</v>
      </c>
      <c r="E128" s="8">
        <f t="shared" si="4"/>
        <v>451439.23</v>
      </c>
      <c r="F128" s="8">
        <f t="shared" si="5"/>
        <v>4773.45</v>
      </c>
      <c r="G128" s="9">
        <f t="shared" si="6"/>
        <v>-1.5161422046154453E-2</v>
      </c>
      <c r="H128" s="9">
        <f t="shared" si="7"/>
        <v>-1.5162143537984746E-2</v>
      </c>
    </row>
    <row r="129" spans="1:8" ht="20" customHeight="1">
      <c r="A129" s="10">
        <v>45824</v>
      </c>
      <c r="B129" s="11">
        <v>3396.39990234375</v>
      </c>
      <c r="C129" s="11">
        <v>36.379001617431641</v>
      </c>
      <c r="D129" s="11">
        <v>4098.75</v>
      </c>
      <c r="E129" s="12">
        <f t="shared" si="4"/>
        <v>447570.35</v>
      </c>
      <c r="F129" s="12">
        <f t="shared" si="5"/>
        <v>4793.95</v>
      </c>
      <c r="G129" s="13">
        <f t="shared" si="6"/>
        <v>-8.5701014508641725E-3</v>
      </c>
      <c r="H129" s="13">
        <f t="shared" si="7"/>
        <v>4.2945877719469151E-3</v>
      </c>
    </row>
    <row r="130" spans="1:8" ht="20" customHeight="1">
      <c r="A130" s="6">
        <v>45825</v>
      </c>
      <c r="B130" s="7">
        <v>3386.60009765625</v>
      </c>
      <c r="C130" s="7">
        <v>37.090000152587891</v>
      </c>
      <c r="D130" s="7">
        <v>4100.25</v>
      </c>
      <c r="E130" s="8">
        <f t="shared" ref="E130:E193" si="8">ROUND((B130/31.1034768)*D130, 2)</f>
        <v>446442.28</v>
      </c>
      <c r="F130" s="8">
        <f t="shared" ref="F130:F193" si="9">ROUND((C130/31.1034768)*D130, 2)</f>
        <v>4889.43</v>
      </c>
      <c r="G130" s="9">
        <f t="shared" si="6"/>
        <v>-2.520430587057317E-3</v>
      </c>
      <c r="H130" s="9">
        <f t="shared" si="7"/>
        <v>1.9916770095641481E-2</v>
      </c>
    </row>
    <row r="131" spans="1:8" ht="20" customHeight="1">
      <c r="A131" s="10">
        <v>45826</v>
      </c>
      <c r="B131" s="11">
        <v>3389.800048828125</v>
      </c>
      <c r="C131" s="11">
        <v>36.866001129150391</v>
      </c>
      <c r="D131" s="11">
        <v>4068.469970703125</v>
      </c>
      <c r="E131" s="12">
        <f t="shared" si="8"/>
        <v>443400.58</v>
      </c>
      <c r="F131" s="12">
        <f t="shared" si="9"/>
        <v>4822.2299999999996</v>
      </c>
      <c r="G131" s="13">
        <f t="shared" ref="G131:G194" si="10">IFERROR((E131-E130)/E130, 0)</f>
        <v>-6.8131987857422719E-3</v>
      </c>
      <c r="H131" s="13">
        <f t="shared" ref="H131:H194" si="11">IFERROR((F131-F130)/F130, 0)</f>
        <v>-1.3743933341923439E-2</v>
      </c>
    </row>
    <row r="132" spans="1:8" ht="20" customHeight="1">
      <c r="A132" s="6">
        <v>45827</v>
      </c>
      <c r="B132" s="7">
        <v>3389.800048828125</v>
      </c>
      <c r="C132" s="7">
        <v>36.866001129150391</v>
      </c>
      <c r="D132" s="7">
        <v>4082</v>
      </c>
      <c r="E132" s="8">
        <f t="shared" si="8"/>
        <v>444875.15</v>
      </c>
      <c r="F132" s="8">
        <f t="shared" si="9"/>
        <v>4838.2700000000004</v>
      </c>
      <c r="G132" s="9">
        <f t="shared" si="10"/>
        <v>3.3255933043660137E-3</v>
      </c>
      <c r="H132" s="9">
        <f t="shared" si="11"/>
        <v>3.3262619161675976E-3</v>
      </c>
    </row>
    <row r="133" spans="1:8" ht="20" customHeight="1">
      <c r="A133" s="10">
        <v>45828</v>
      </c>
      <c r="B133" s="11">
        <v>3368.10009765625</v>
      </c>
      <c r="C133" s="11">
        <v>35.976001739501953</v>
      </c>
      <c r="D133" s="11">
        <v>4082</v>
      </c>
      <c r="E133" s="12">
        <f t="shared" si="8"/>
        <v>442027.26</v>
      </c>
      <c r="F133" s="12">
        <f t="shared" si="9"/>
        <v>4721.47</v>
      </c>
      <c r="G133" s="13">
        <f t="shared" si="10"/>
        <v>-6.4015488390394785E-3</v>
      </c>
      <c r="H133" s="13">
        <f t="shared" si="11"/>
        <v>-2.4140860266169555E-2</v>
      </c>
    </row>
    <row r="134" spans="1:8" ht="20" customHeight="1">
      <c r="A134" s="6">
        <v>45830</v>
      </c>
      <c r="B134" s="7">
        <v>3368.10009765625</v>
      </c>
      <c r="C134" s="7">
        <v>35.976001739501953</v>
      </c>
      <c r="D134" s="7">
        <v>4080.919921875</v>
      </c>
      <c r="E134" s="8">
        <f t="shared" si="8"/>
        <v>441910.3</v>
      </c>
      <c r="F134" s="8">
        <f t="shared" si="9"/>
        <v>4720.22</v>
      </c>
      <c r="G134" s="9">
        <f t="shared" si="10"/>
        <v>-2.6459906567758053E-4</v>
      </c>
      <c r="H134" s="9">
        <f t="shared" si="11"/>
        <v>-2.6474805516078678E-4</v>
      </c>
    </row>
    <row r="135" spans="1:8" ht="20" customHeight="1">
      <c r="A135" s="10">
        <v>45831</v>
      </c>
      <c r="B135" s="11">
        <v>3377.699951171875</v>
      </c>
      <c r="C135" s="11">
        <v>36.152999877929688</v>
      </c>
      <c r="D135" s="11">
        <v>4082.25</v>
      </c>
      <c r="E135" s="12">
        <f t="shared" si="8"/>
        <v>443314.29</v>
      </c>
      <c r="F135" s="12">
        <f t="shared" si="9"/>
        <v>4744.99</v>
      </c>
      <c r="G135" s="13">
        <f t="shared" si="10"/>
        <v>3.1770927267366039E-3</v>
      </c>
      <c r="H135" s="13">
        <f t="shared" si="11"/>
        <v>5.2476367626931638E-3</v>
      </c>
    </row>
    <row r="136" spans="1:8" ht="20" customHeight="1">
      <c r="A136" s="6">
        <v>45832</v>
      </c>
      <c r="B136" s="7">
        <v>3317.39990234375</v>
      </c>
      <c r="C136" s="7">
        <v>35.701000213623047</v>
      </c>
      <c r="D136" s="7">
        <v>4076.550048828125</v>
      </c>
      <c r="E136" s="8">
        <f t="shared" si="8"/>
        <v>434792.12</v>
      </c>
      <c r="F136" s="8">
        <f t="shared" si="9"/>
        <v>4679.12</v>
      </c>
      <c r="G136" s="9">
        <f t="shared" si="10"/>
        <v>-1.9223765604307462E-2</v>
      </c>
      <c r="H136" s="9">
        <f t="shared" si="11"/>
        <v>-1.3882010288746634E-2</v>
      </c>
    </row>
    <row r="137" spans="1:8" ht="20" customHeight="1">
      <c r="A137" s="10">
        <v>45833</v>
      </c>
      <c r="B137" s="11">
        <v>3327.10009765625</v>
      </c>
      <c r="C137" s="11">
        <v>36.084999084472663</v>
      </c>
      <c r="D137" s="11">
        <v>4056.18994140625</v>
      </c>
      <c r="E137" s="12">
        <f t="shared" si="8"/>
        <v>433885.58</v>
      </c>
      <c r="F137" s="12">
        <f t="shared" si="9"/>
        <v>4705.83</v>
      </c>
      <c r="G137" s="13">
        <f t="shared" si="10"/>
        <v>-2.0849963886189543E-3</v>
      </c>
      <c r="H137" s="13">
        <f t="shared" si="11"/>
        <v>5.7083383200259956E-3</v>
      </c>
    </row>
    <row r="138" spans="1:8" ht="20" customHeight="1">
      <c r="A138" s="6">
        <v>45834</v>
      </c>
      <c r="B138" s="7">
        <v>3333.5</v>
      </c>
      <c r="C138" s="7">
        <v>36.58599853515625</v>
      </c>
      <c r="D138" s="7">
        <v>4037.25</v>
      </c>
      <c r="E138" s="8">
        <f t="shared" si="8"/>
        <v>432690.31</v>
      </c>
      <c r="F138" s="8">
        <f t="shared" si="9"/>
        <v>4748.88</v>
      </c>
      <c r="G138" s="9">
        <f t="shared" si="10"/>
        <v>-2.754804619227075E-3</v>
      </c>
      <c r="H138" s="9">
        <f t="shared" si="11"/>
        <v>9.1482267740229002E-3</v>
      </c>
    </row>
    <row r="139" spans="1:8" ht="20" customHeight="1">
      <c r="A139" s="10">
        <v>45835</v>
      </c>
      <c r="B139" s="11">
        <v>3273.699951171875</v>
      </c>
      <c r="C139" s="11">
        <v>36.036998748779297</v>
      </c>
      <c r="D139" s="11">
        <v>4037.25</v>
      </c>
      <c r="E139" s="12">
        <f t="shared" si="8"/>
        <v>424928.22</v>
      </c>
      <c r="F139" s="12">
        <f t="shared" si="9"/>
        <v>4677.62</v>
      </c>
      <c r="G139" s="13">
        <f t="shared" si="10"/>
        <v>-1.7939135267438795E-2</v>
      </c>
      <c r="H139" s="13">
        <f t="shared" si="11"/>
        <v>-1.5005643435925991E-2</v>
      </c>
    </row>
    <row r="140" spans="1:8" ht="20" customHeight="1">
      <c r="A140" s="6">
        <v>45837</v>
      </c>
      <c r="B140" s="7">
        <v>3273.699951171875</v>
      </c>
      <c r="C140" s="7">
        <v>36.036998748779297</v>
      </c>
      <c r="D140" s="7">
        <v>4035.43994140625</v>
      </c>
      <c r="E140" s="8">
        <f t="shared" si="8"/>
        <v>424737.71</v>
      </c>
      <c r="F140" s="8">
        <f t="shared" si="9"/>
        <v>4675.53</v>
      </c>
      <c r="G140" s="9">
        <f t="shared" si="10"/>
        <v>-4.4833454459661709E-4</v>
      </c>
      <c r="H140" s="9">
        <f t="shared" si="11"/>
        <v>-4.4680841966644269E-4</v>
      </c>
    </row>
    <row r="141" spans="1:8" ht="20" customHeight="1">
      <c r="A141" s="10">
        <v>45838</v>
      </c>
      <c r="B141" s="11">
        <v>3294.39990234375</v>
      </c>
      <c r="C141" s="11">
        <v>35.852001190185547</v>
      </c>
      <c r="D141" s="11">
        <v>4087.75</v>
      </c>
      <c r="E141" s="12">
        <f t="shared" si="8"/>
        <v>432963.92</v>
      </c>
      <c r="F141" s="12">
        <f t="shared" si="9"/>
        <v>4711.82</v>
      </c>
      <c r="G141" s="13">
        <f t="shared" si="10"/>
        <v>1.9367741093673934E-2</v>
      </c>
      <c r="H141" s="13">
        <f t="shared" si="11"/>
        <v>7.761686910360957E-3</v>
      </c>
    </row>
    <row r="142" spans="1:8" ht="20" customHeight="1">
      <c r="A142" s="6">
        <v>45839</v>
      </c>
      <c r="B142" s="7">
        <v>3336.699951171875</v>
      </c>
      <c r="C142" s="7">
        <v>36.082000732421882</v>
      </c>
      <c r="D142" s="7">
        <v>4028.280029296875</v>
      </c>
      <c r="E142" s="8">
        <f t="shared" si="8"/>
        <v>432143.39</v>
      </c>
      <c r="F142" s="8">
        <f t="shared" si="9"/>
        <v>4673.0600000000004</v>
      </c>
      <c r="G142" s="9">
        <f t="shared" si="10"/>
        <v>-1.8951463669304588E-3</v>
      </c>
      <c r="H142" s="9">
        <f t="shared" si="11"/>
        <v>-8.2261206922164491E-3</v>
      </c>
    </row>
    <row r="143" spans="1:8" ht="20" customHeight="1">
      <c r="A143" s="10">
        <v>45840</v>
      </c>
      <c r="B143" s="11">
        <v>3348</v>
      </c>
      <c r="C143" s="11">
        <v>36.425998687744141</v>
      </c>
      <c r="D143" s="11">
        <v>3989</v>
      </c>
      <c r="E143" s="12">
        <f t="shared" si="8"/>
        <v>429378.75</v>
      </c>
      <c r="F143" s="12">
        <f t="shared" si="9"/>
        <v>4671.6099999999997</v>
      </c>
      <c r="G143" s="13">
        <f t="shared" si="10"/>
        <v>-6.3975061610916087E-3</v>
      </c>
      <c r="H143" s="13">
        <f t="shared" si="11"/>
        <v>-3.1028918952479261E-4</v>
      </c>
    </row>
    <row r="144" spans="1:8" ht="20" customHeight="1">
      <c r="A144" s="6">
        <v>45841</v>
      </c>
      <c r="B144" s="7">
        <v>3331.60009765625</v>
      </c>
      <c r="C144" s="7">
        <v>36.784000396728523</v>
      </c>
      <c r="D144" s="7">
        <v>3988.25</v>
      </c>
      <c r="E144" s="8">
        <f t="shared" si="8"/>
        <v>427195.14</v>
      </c>
      <c r="F144" s="8">
        <f t="shared" si="9"/>
        <v>4716.6400000000003</v>
      </c>
      <c r="G144" s="9">
        <f t="shared" si="10"/>
        <v>-5.0855101702168212E-3</v>
      </c>
      <c r="H144" s="9">
        <f t="shared" si="11"/>
        <v>9.6390751796491276E-3</v>
      </c>
    </row>
    <row r="145" spans="1:8" ht="20" customHeight="1">
      <c r="A145" s="10">
        <v>45842</v>
      </c>
      <c r="B145" s="11">
        <v>3332.5</v>
      </c>
      <c r="C145" s="11">
        <v>36.775001525878913</v>
      </c>
      <c r="D145" s="11">
        <v>3988.25</v>
      </c>
      <c r="E145" s="12">
        <f t="shared" si="8"/>
        <v>427310.53</v>
      </c>
      <c r="F145" s="12">
        <f t="shared" si="9"/>
        <v>4715.4799999999996</v>
      </c>
      <c r="G145" s="13">
        <f t="shared" si="10"/>
        <v>2.701107507918137E-4</v>
      </c>
      <c r="H145" s="13">
        <f t="shared" si="11"/>
        <v>-2.4593778622086142E-4</v>
      </c>
    </row>
    <row r="146" spans="1:8" ht="20" customHeight="1">
      <c r="A146" s="6">
        <v>45844</v>
      </c>
      <c r="B146" s="7">
        <v>3332.5</v>
      </c>
      <c r="C146" s="7">
        <v>36.775001525878913</v>
      </c>
      <c r="D146" s="7">
        <v>3999.89990234375</v>
      </c>
      <c r="E146" s="8">
        <f t="shared" si="8"/>
        <v>428558.73</v>
      </c>
      <c r="F146" s="8">
        <f t="shared" si="9"/>
        <v>4729.26</v>
      </c>
      <c r="G146" s="9">
        <f t="shared" si="10"/>
        <v>2.9210607096435311E-3</v>
      </c>
      <c r="H146" s="9">
        <f t="shared" si="11"/>
        <v>2.9222899895664186E-3</v>
      </c>
    </row>
    <row r="147" spans="1:8" ht="20" customHeight="1">
      <c r="A147" s="10">
        <v>45845</v>
      </c>
      <c r="B147" s="11">
        <v>3332.199951171875</v>
      </c>
      <c r="C147" s="11">
        <v>36.615001678466797</v>
      </c>
      <c r="D147" s="11">
        <v>4030.35009765625</v>
      </c>
      <c r="E147" s="12">
        <f t="shared" si="8"/>
        <v>431782.35</v>
      </c>
      <c r="F147" s="12">
        <f t="shared" si="9"/>
        <v>4744.53</v>
      </c>
      <c r="G147" s="13">
        <f t="shared" si="10"/>
        <v>7.5220028769452333E-3</v>
      </c>
      <c r="H147" s="13">
        <f t="shared" si="11"/>
        <v>3.2288349551514457E-3</v>
      </c>
    </row>
    <row r="148" spans="1:8" ht="20" customHeight="1">
      <c r="A148" s="6">
        <v>45846</v>
      </c>
      <c r="B148" s="7">
        <v>3307</v>
      </c>
      <c r="C148" s="7">
        <v>36.472000122070313</v>
      </c>
      <c r="D148" s="7">
        <v>4049.8798828125</v>
      </c>
      <c r="E148" s="8">
        <f t="shared" si="8"/>
        <v>430593.43</v>
      </c>
      <c r="F148" s="8">
        <f t="shared" si="9"/>
        <v>4748.8999999999996</v>
      </c>
      <c r="G148" s="9">
        <f t="shared" si="10"/>
        <v>-2.753516904986931E-3</v>
      </c>
      <c r="H148" s="9">
        <f t="shared" si="11"/>
        <v>9.2106067408149832E-4</v>
      </c>
    </row>
    <row r="149" spans="1:8" ht="20" customHeight="1">
      <c r="A149" s="10">
        <v>45847</v>
      </c>
      <c r="B149" s="11">
        <v>3311.60009765625</v>
      </c>
      <c r="C149" s="11">
        <v>36.351001739501953</v>
      </c>
      <c r="D149" s="11">
        <v>4021.5</v>
      </c>
      <c r="E149" s="12">
        <f t="shared" si="8"/>
        <v>428170.78</v>
      </c>
      <c r="F149" s="12">
        <f t="shared" si="9"/>
        <v>4699.97</v>
      </c>
      <c r="G149" s="13">
        <f t="shared" si="10"/>
        <v>-5.6263050739068761E-3</v>
      </c>
      <c r="H149" s="13">
        <f t="shared" si="11"/>
        <v>-1.030343869106517E-2</v>
      </c>
    </row>
    <row r="150" spans="1:8" ht="20" customHeight="1">
      <c r="A150" s="6">
        <v>45848</v>
      </c>
      <c r="B150" s="7">
        <v>3317.39990234375</v>
      </c>
      <c r="C150" s="7">
        <v>37.037998199462891</v>
      </c>
      <c r="D150" s="7">
        <v>4013.949951171875</v>
      </c>
      <c r="E150" s="8">
        <f t="shared" si="8"/>
        <v>428115.39</v>
      </c>
      <c r="F150" s="8">
        <f t="shared" si="9"/>
        <v>4779.8100000000004</v>
      </c>
      <c r="G150" s="9">
        <f t="shared" si="10"/>
        <v>-1.2936426908910964E-4</v>
      </c>
      <c r="H150" s="9">
        <f t="shared" si="11"/>
        <v>1.6987342472398789E-2</v>
      </c>
    </row>
    <row r="151" spans="1:8" ht="20" customHeight="1">
      <c r="A151" s="10">
        <v>45849</v>
      </c>
      <c r="B151" s="11">
        <v>3356</v>
      </c>
      <c r="C151" s="11">
        <v>38.675998687744141</v>
      </c>
      <c r="D151" s="11">
        <v>4013.949951171875</v>
      </c>
      <c r="E151" s="12">
        <f t="shared" si="8"/>
        <v>433096.79</v>
      </c>
      <c r="F151" s="12">
        <f t="shared" si="9"/>
        <v>4991.2</v>
      </c>
      <c r="G151" s="13">
        <f t="shared" si="10"/>
        <v>1.1635648043393079E-2</v>
      </c>
      <c r="H151" s="13">
        <f t="shared" si="11"/>
        <v>4.4225607294013654E-2</v>
      </c>
    </row>
    <row r="152" spans="1:8" ht="20" customHeight="1">
      <c r="A152" s="6">
        <v>45851</v>
      </c>
      <c r="B152" s="7">
        <v>3356</v>
      </c>
      <c r="C152" s="7">
        <v>38.675998687744141</v>
      </c>
      <c r="D152" s="7">
        <v>4011.669921875</v>
      </c>
      <c r="E152" s="8">
        <f t="shared" si="8"/>
        <v>432850.78</v>
      </c>
      <c r="F152" s="8">
        <f t="shared" si="9"/>
        <v>4988.3599999999997</v>
      </c>
      <c r="G152" s="9">
        <f t="shared" si="10"/>
        <v>-5.6802545223193896E-4</v>
      </c>
      <c r="H152" s="9">
        <f t="shared" si="11"/>
        <v>-5.6900144253889753E-4</v>
      </c>
    </row>
    <row r="153" spans="1:8" ht="20" customHeight="1">
      <c r="A153" s="10">
        <v>45852</v>
      </c>
      <c r="B153" s="11">
        <v>3351.5</v>
      </c>
      <c r="C153" s="11">
        <v>38.462001800537109</v>
      </c>
      <c r="D153" s="11">
        <v>4008.75</v>
      </c>
      <c r="E153" s="12">
        <f t="shared" si="8"/>
        <v>431955.75</v>
      </c>
      <c r="F153" s="12">
        <f t="shared" si="9"/>
        <v>4957.1499999999996</v>
      </c>
      <c r="G153" s="13">
        <f t="shared" si="10"/>
        <v>-2.0677564679449762E-3</v>
      </c>
      <c r="H153" s="13">
        <f t="shared" si="11"/>
        <v>-6.2565652839811159E-3</v>
      </c>
    </row>
    <row r="154" spans="1:8" ht="20" customHeight="1">
      <c r="A154" s="6">
        <v>45853</v>
      </c>
      <c r="B154" s="7">
        <v>3329.800048828125</v>
      </c>
      <c r="C154" s="7">
        <v>37.833999633789063</v>
      </c>
      <c r="D154" s="7">
        <v>4033.75</v>
      </c>
      <c r="E154" s="8">
        <f t="shared" si="8"/>
        <v>431835.36</v>
      </c>
      <c r="F154" s="8">
        <f t="shared" si="9"/>
        <v>4906.62</v>
      </c>
      <c r="G154" s="9">
        <f t="shared" si="10"/>
        <v>-2.7870910388393713E-4</v>
      </c>
      <c r="H154" s="9">
        <f t="shared" si="11"/>
        <v>-1.0193357070090626E-2</v>
      </c>
    </row>
    <row r="155" spans="1:8" ht="20" customHeight="1">
      <c r="A155" s="10">
        <v>45854</v>
      </c>
      <c r="B155" s="11">
        <v>3352.5</v>
      </c>
      <c r="C155" s="11">
        <v>37.853000640869141</v>
      </c>
      <c r="D155" s="11">
        <v>4012.8798828125</v>
      </c>
      <c r="E155" s="12">
        <f t="shared" si="8"/>
        <v>432529.77</v>
      </c>
      <c r="F155" s="12">
        <f t="shared" si="9"/>
        <v>4883.68</v>
      </c>
      <c r="G155" s="13">
        <f t="shared" si="10"/>
        <v>1.6080433987620481E-3</v>
      </c>
      <c r="H155" s="13">
        <f t="shared" si="11"/>
        <v>-4.6753162054529599E-3</v>
      </c>
    </row>
    <row r="156" spans="1:8" ht="20" customHeight="1">
      <c r="A156" s="6">
        <v>45855</v>
      </c>
      <c r="B156" s="7">
        <v>3340.10009765625</v>
      </c>
      <c r="C156" s="7">
        <v>38.055999755859382</v>
      </c>
      <c r="D156" s="7">
        <v>4020.409912109375</v>
      </c>
      <c r="E156" s="8">
        <f t="shared" si="8"/>
        <v>431738.6</v>
      </c>
      <c r="F156" s="8">
        <f t="shared" si="9"/>
        <v>4919.09</v>
      </c>
      <c r="G156" s="9">
        <f t="shared" si="10"/>
        <v>-1.8291688916581208E-3</v>
      </c>
      <c r="H156" s="9">
        <f t="shared" si="11"/>
        <v>7.250679815221278E-3</v>
      </c>
    </row>
    <row r="157" spans="1:8" ht="20" customHeight="1">
      <c r="A157" s="10">
        <v>45856</v>
      </c>
      <c r="B157" s="11">
        <v>3353</v>
      </c>
      <c r="C157" s="11">
        <v>38.222999572753913</v>
      </c>
      <c r="D157" s="11">
        <v>4020.409912109375</v>
      </c>
      <c r="E157" s="12">
        <f t="shared" si="8"/>
        <v>433406.03</v>
      </c>
      <c r="F157" s="12">
        <f t="shared" si="9"/>
        <v>4940.67</v>
      </c>
      <c r="G157" s="13">
        <f t="shared" si="10"/>
        <v>3.8621286120815957E-3</v>
      </c>
      <c r="H157" s="13">
        <f t="shared" si="11"/>
        <v>4.3869902766568462E-3</v>
      </c>
    </row>
    <row r="158" spans="1:8" ht="20" customHeight="1">
      <c r="A158" s="6">
        <v>45858</v>
      </c>
      <c r="B158" s="7">
        <v>3353</v>
      </c>
      <c r="C158" s="7">
        <v>38.222999572753913</v>
      </c>
      <c r="D158" s="7">
        <v>4020.010009765625</v>
      </c>
      <c r="E158" s="8">
        <f t="shared" si="8"/>
        <v>433362.92</v>
      </c>
      <c r="F158" s="8">
        <f t="shared" si="9"/>
        <v>4940.18</v>
      </c>
      <c r="G158" s="9">
        <f t="shared" si="10"/>
        <v>-9.946792849200606E-5</v>
      </c>
      <c r="H158" s="9">
        <f t="shared" si="11"/>
        <v>-9.9176832291932409E-5</v>
      </c>
    </row>
    <row r="159" spans="1:8" ht="20" customHeight="1">
      <c r="A159" s="10">
        <v>45859</v>
      </c>
      <c r="B159" s="11">
        <v>3401.89990234375</v>
      </c>
      <c r="C159" s="11">
        <v>39.101001739501953</v>
      </c>
      <c r="D159" s="11">
        <v>4033.590087890625</v>
      </c>
      <c r="E159" s="12">
        <f t="shared" si="8"/>
        <v>441168.36</v>
      </c>
      <c r="F159" s="12">
        <f t="shared" si="9"/>
        <v>5070.7299999999996</v>
      </c>
      <c r="G159" s="13">
        <f t="shared" si="10"/>
        <v>1.8011324088364557E-2</v>
      </c>
      <c r="H159" s="13">
        <f t="shared" si="11"/>
        <v>2.6426162609459427E-2</v>
      </c>
    </row>
    <row r="160" spans="1:8" ht="20" customHeight="1">
      <c r="A160" s="6">
        <v>45860</v>
      </c>
      <c r="B160" s="7">
        <v>3439.199951171875</v>
      </c>
      <c r="C160" s="7">
        <v>39.319999694824219</v>
      </c>
      <c r="D160" s="7">
        <v>4070.81005859375</v>
      </c>
      <c r="E160" s="8">
        <f t="shared" si="8"/>
        <v>450121.05</v>
      </c>
      <c r="F160" s="8">
        <f t="shared" si="9"/>
        <v>5146.1899999999996</v>
      </c>
      <c r="G160" s="9">
        <f t="shared" si="10"/>
        <v>2.0293137069031884E-2</v>
      </c>
      <c r="H160" s="9">
        <f t="shared" si="11"/>
        <v>1.4881486492083002E-2</v>
      </c>
    </row>
    <row r="161" spans="1:8" ht="20" customHeight="1">
      <c r="A161" s="10">
        <v>45861</v>
      </c>
      <c r="B161" s="11">
        <v>3394.10009765625</v>
      </c>
      <c r="C161" s="11">
        <v>39.277999877929688</v>
      </c>
      <c r="D161" s="11">
        <v>4036.300048828125</v>
      </c>
      <c r="E161" s="12">
        <f t="shared" si="8"/>
        <v>440452.57</v>
      </c>
      <c r="F161" s="12">
        <f t="shared" si="9"/>
        <v>5097.1099999999997</v>
      </c>
      <c r="G161" s="13">
        <f t="shared" si="10"/>
        <v>-2.1479733062917145E-2</v>
      </c>
      <c r="H161" s="13">
        <f t="shared" si="11"/>
        <v>-9.5371527285234188E-3</v>
      </c>
    </row>
    <row r="162" spans="1:8" ht="20" customHeight="1">
      <c r="A162" s="6">
        <v>45862</v>
      </c>
      <c r="B162" s="7">
        <v>3371</v>
      </c>
      <c r="C162" s="7">
        <v>39.020999908447273</v>
      </c>
      <c r="D162" s="7">
        <v>4072.010009765625</v>
      </c>
      <c r="E162" s="8">
        <f t="shared" si="8"/>
        <v>441325.12</v>
      </c>
      <c r="F162" s="8">
        <f t="shared" si="9"/>
        <v>5108.5600000000004</v>
      </c>
      <c r="G162" s="9">
        <f t="shared" si="10"/>
        <v>1.9810305568202006E-3</v>
      </c>
      <c r="H162" s="9">
        <f t="shared" si="11"/>
        <v>2.2463709827727336E-3</v>
      </c>
    </row>
    <row r="163" spans="1:8" ht="20" customHeight="1">
      <c r="A163" s="10">
        <v>45863</v>
      </c>
      <c r="B163" s="11">
        <v>3334</v>
      </c>
      <c r="C163" s="11">
        <v>38.166999816894531</v>
      </c>
      <c r="D163" s="11">
        <v>4072.010009765625</v>
      </c>
      <c r="E163" s="12">
        <f t="shared" si="8"/>
        <v>436481.15</v>
      </c>
      <c r="F163" s="12">
        <f t="shared" si="9"/>
        <v>4996.75</v>
      </c>
      <c r="G163" s="13">
        <f t="shared" si="10"/>
        <v>-1.0975967105611328E-2</v>
      </c>
      <c r="H163" s="13">
        <f t="shared" si="11"/>
        <v>-2.1886793930187842E-2</v>
      </c>
    </row>
    <row r="164" spans="1:8" ht="20" customHeight="1">
      <c r="A164" s="6">
        <v>45865</v>
      </c>
      <c r="B164" s="7">
        <v>3334</v>
      </c>
      <c r="C164" s="7">
        <v>38.166999816894531</v>
      </c>
      <c r="D164" s="7">
        <v>4063.7099609375</v>
      </c>
      <c r="E164" s="8">
        <f t="shared" si="8"/>
        <v>435591.46</v>
      </c>
      <c r="F164" s="8">
        <f t="shared" si="9"/>
        <v>4986.57</v>
      </c>
      <c r="G164" s="9">
        <f t="shared" si="10"/>
        <v>-2.0383239917691801E-3</v>
      </c>
      <c r="H164" s="9">
        <f t="shared" si="11"/>
        <v>-2.0373242607695584E-3</v>
      </c>
    </row>
    <row r="165" spans="1:8" ht="20" customHeight="1">
      <c r="A165" s="10">
        <v>45866</v>
      </c>
      <c r="B165" s="11">
        <v>3309.10009765625</v>
      </c>
      <c r="C165" s="11">
        <v>38.0260009765625</v>
      </c>
      <c r="D165" s="11">
        <v>4173.58984375</v>
      </c>
      <c r="E165" s="12">
        <f t="shared" si="8"/>
        <v>444028.38</v>
      </c>
      <c r="F165" s="12">
        <f t="shared" si="9"/>
        <v>5102.4799999999996</v>
      </c>
      <c r="G165" s="13">
        <f t="shared" si="10"/>
        <v>1.936888294366465E-2</v>
      </c>
      <c r="H165" s="13">
        <f t="shared" si="11"/>
        <v>2.3244434551204507E-2</v>
      </c>
    </row>
    <row r="166" spans="1:8" ht="20" customHeight="1">
      <c r="A166" s="6">
        <v>45867</v>
      </c>
      <c r="B166" s="7">
        <v>3323.39990234375</v>
      </c>
      <c r="C166" s="7">
        <v>38.083999633789063</v>
      </c>
      <c r="D166" s="7">
        <v>4134.75</v>
      </c>
      <c r="E166" s="8">
        <f t="shared" si="8"/>
        <v>441797.16</v>
      </c>
      <c r="F166" s="8">
        <f t="shared" si="9"/>
        <v>5062.71</v>
      </c>
      <c r="G166" s="9">
        <f t="shared" si="10"/>
        <v>-5.0249490809574611E-3</v>
      </c>
      <c r="H166" s="9">
        <f t="shared" si="11"/>
        <v>-7.7942490710398733E-3</v>
      </c>
    </row>
    <row r="167" spans="1:8" ht="20" customHeight="1">
      <c r="A167" s="10">
        <v>45868</v>
      </c>
      <c r="B167" s="11">
        <v>3295.800048828125</v>
      </c>
      <c r="C167" s="11">
        <v>37.566001892089837</v>
      </c>
      <c r="D167" s="11">
        <v>4186.75</v>
      </c>
      <c r="E167" s="12">
        <f t="shared" si="8"/>
        <v>443638.21</v>
      </c>
      <c r="F167" s="12">
        <f t="shared" si="9"/>
        <v>5056.6499999999996</v>
      </c>
      <c r="G167" s="13">
        <f t="shared" si="10"/>
        <v>4.1671838723455054E-3</v>
      </c>
      <c r="H167" s="13">
        <f t="shared" si="11"/>
        <v>-1.1969873842271037E-3</v>
      </c>
    </row>
    <row r="168" spans="1:8" ht="20" customHeight="1">
      <c r="A168" s="6">
        <v>45869</v>
      </c>
      <c r="B168" s="7">
        <v>3293.199951171875</v>
      </c>
      <c r="C168" s="7">
        <v>36.551998138427727</v>
      </c>
      <c r="D168" s="7">
        <v>4184.9599609375</v>
      </c>
      <c r="E168" s="8">
        <f t="shared" si="8"/>
        <v>443098.69</v>
      </c>
      <c r="F168" s="8">
        <f t="shared" si="9"/>
        <v>4918.0600000000004</v>
      </c>
      <c r="G168" s="9">
        <f t="shared" si="10"/>
        <v>-1.2161260861638103E-3</v>
      </c>
      <c r="H168" s="9">
        <f t="shared" si="11"/>
        <v>-2.7407473327202642E-2</v>
      </c>
    </row>
    <row r="169" spans="1:8" ht="20" customHeight="1">
      <c r="A169" s="10">
        <v>45870</v>
      </c>
      <c r="B169" s="11">
        <v>3347.699951171875</v>
      </c>
      <c r="C169" s="11">
        <v>36.786998748779297</v>
      </c>
      <c r="D169" s="11">
        <v>4184.9599609375</v>
      </c>
      <c r="E169" s="12">
        <f t="shared" si="8"/>
        <v>450431.65</v>
      </c>
      <c r="F169" s="12">
        <f t="shared" si="9"/>
        <v>4949.68</v>
      </c>
      <c r="G169" s="13">
        <f t="shared" si="10"/>
        <v>1.6549270321697455E-2</v>
      </c>
      <c r="H169" s="13">
        <f t="shared" si="11"/>
        <v>6.4293644241834964E-3</v>
      </c>
    </row>
    <row r="170" spans="1:8" ht="20" customHeight="1">
      <c r="A170" s="6">
        <v>45872</v>
      </c>
      <c r="B170" s="7">
        <v>3347.699951171875</v>
      </c>
      <c r="C170" s="7">
        <v>36.786998748779297</v>
      </c>
      <c r="D170" s="7">
        <v>4122.419921875</v>
      </c>
      <c r="E170" s="8">
        <f t="shared" si="8"/>
        <v>443700.4</v>
      </c>
      <c r="F170" s="8">
        <f t="shared" si="9"/>
        <v>4875.71</v>
      </c>
      <c r="G170" s="9">
        <f t="shared" si="10"/>
        <v>-1.4943998717674479E-2</v>
      </c>
      <c r="H170" s="9">
        <f t="shared" si="11"/>
        <v>-1.4944400446089495E-2</v>
      </c>
    </row>
    <row r="171" spans="1:8" ht="20" customHeight="1">
      <c r="A171" s="10">
        <v>45873</v>
      </c>
      <c r="B171" s="11">
        <v>3374.39990234375</v>
      </c>
      <c r="C171" s="11">
        <v>37.192001342773438</v>
      </c>
      <c r="D171" s="11">
        <v>4096.89990234375</v>
      </c>
      <c r="E171" s="12">
        <f t="shared" si="8"/>
        <v>444470.52</v>
      </c>
      <c r="F171" s="12">
        <f t="shared" si="9"/>
        <v>4898.87</v>
      </c>
      <c r="G171" s="13">
        <f t="shared" si="10"/>
        <v>1.7356756946804539E-3</v>
      </c>
      <c r="H171" s="13">
        <f t="shared" si="11"/>
        <v>4.7500774246212046E-3</v>
      </c>
    </row>
    <row r="172" spans="1:8" ht="20" customHeight="1">
      <c r="A172" s="6">
        <v>45874</v>
      </c>
      <c r="B172" s="7">
        <v>3381.89990234375</v>
      </c>
      <c r="C172" s="7">
        <v>37.687000274658203</v>
      </c>
      <c r="D172" s="7">
        <v>4088.5</v>
      </c>
      <c r="E172" s="8">
        <f t="shared" si="8"/>
        <v>444545.09</v>
      </c>
      <c r="F172" s="8">
        <f t="shared" si="9"/>
        <v>4953.8900000000003</v>
      </c>
      <c r="G172" s="9">
        <f t="shared" si="10"/>
        <v>1.6777265677824253E-4</v>
      </c>
      <c r="H172" s="9">
        <f t="shared" si="11"/>
        <v>1.1231161471931371E-2</v>
      </c>
    </row>
    <row r="173" spans="1:8" ht="20" customHeight="1">
      <c r="A173" s="10">
        <v>45875</v>
      </c>
      <c r="B173" s="11">
        <v>3380</v>
      </c>
      <c r="C173" s="11">
        <v>37.765998840332031</v>
      </c>
      <c r="D173" s="11">
        <v>4043.570068359375</v>
      </c>
      <c r="E173" s="12">
        <f t="shared" si="8"/>
        <v>439412.83</v>
      </c>
      <c r="F173" s="12">
        <f t="shared" si="9"/>
        <v>4909.72</v>
      </c>
      <c r="G173" s="13">
        <f t="shared" si="10"/>
        <v>-1.1544970612542383E-2</v>
      </c>
      <c r="H173" s="13">
        <f t="shared" si="11"/>
        <v>-8.9162254309239942E-3</v>
      </c>
    </row>
    <row r="174" spans="1:8" ht="20" customHeight="1">
      <c r="A174" s="6">
        <v>45876</v>
      </c>
      <c r="B174" s="7">
        <v>3400.300048828125</v>
      </c>
      <c r="C174" s="7">
        <v>38.158000946044922</v>
      </c>
      <c r="D174" s="7">
        <v>4045.25</v>
      </c>
      <c r="E174" s="8">
        <f t="shared" si="8"/>
        <v>442235.57</v>
      </c>
      <c r="F174" s="8">
        <f t="shared" si="9"/>
        <v>4962.75</v>
      </c>
      <c r="G174" s="9">
        <f t="shared" si="10"/>
        <v>6.4238907179837938E-3</v>
      </c>
      <c r="H174" s="9">
        <f t="shared" si="11"/>
        <v>1.0801023276276396E-2</v>
      </c>
    </row>
    <row r="175" spans="1:8" ht="20" customHeight="1">
      <c r="A175" s="10">
        <v>45877</v>
      </c>
      <c r="B175" s="11">
        <v>3439.10009765625</v>
      </c>
      <c r="C175" s="11">
        <v>38.416999816894531</v>
      </c>
      <c r="D175" s="11">
        <v>4045.25</v>
      </c>
      <c r="E175" s="12">
        <f t="shared" si="8"/>
        <v>447281.82</v>
      </c>
      <c r="F175" s="12">
        <f t="shared" si="9"/>
        <v>4996.43</v>
      </c>
      <c r="G175" s="13">
        <f t="shared" si="10"/>
        <v>1.1410773674311182E-2</v>
      </c>
      <c r="H175" s="13">
        <f t="shared" si="11"/>
        <v>6.7865598710393008E-3</v>
      </c>
    </row>
    <row r="176" spans="1:8" ht="20" customHeight="1">
      <c r="A176" s="6">
        <v>45879</v>
      </c>
      <c r="B176" s="7">
        <v>3439.10009765625</v>
      </c>
      <c r="C176" s="7">
        <v>38.416999816894531</v>
      </c>
      <c r="D176" s="7">
        <v>4043.139892578125</v>
      </c>
      <c r="E176" s="8">
        <f t="shared" si="8"/>
        <v>447048.5</v>
      </c>
      <c r="F176" s="8">
        <f t="shared" si="9"/>
        <v>4993.82</v>
      </c>
      <c r="G176" s="9">
        <f t="shared" si="10"/>
        <v>-5.2163980194859473E-4</v>
      </c>
      <c r="H176" s="9">
        <f t="shared" si="11"/>
        <v>-5.2237297430376929E-4</v>
      </c>
    </row>
    <row r="177" spans="1:8" ht="20" customHeight="1">
      <c r="A177" s="10">
        <v>45880</v>
      </c>
      <c r="B177" s="11">
        <v>3353.10009765625</v>
      </c>
      <c r="C177" s="11">
        <v>37.661998748779297</v>
      </c>
      <c r="D177" s="11">
        <v>4027.7900390625</v>
      </c>
      <c r="E177" s="12">
        <f t="shared" si="8"/>
        <v>434214.58</v>
      </c>
      <c r="F177" s="12">
        <f t="shared" si="9"/>
        <v>4877.1000000000004</v>
      </c>
      <c r="G177" s="13">
        <f t="shared" si="10"/>
        <v>-2.8708115562405385E-2</v>
      </c>
      <c r="H177" s="13">
        <f t="shared" si="11"/>
        <v>-2.3372888890668738E-2</v>
      </c>
    </row>
    <row r="178" spans="1:8" ht="20" customHeight="1">
      <c r="A178" s="6">
        <v>45881</v>
      </c>
      <c r="B178" s="7">
        <v>3348.89990234375</v>
      </c>
      <c r="C178" s="7">
        <v>37.898998260498047</v>
      </c>
      <c r="D178" s="7">
        <v>4018.75</v>
      </c>
      <c r="E178" s="8">
        <f t="shared" si="8"/>
        <v>432697.33</v>
      </c>
      <c r="F178" s="8">
        <f t="shared" si="9"/>
        <v>4896.7700000000004</v>
      </c>
      <c r="G178" s="9">
        <f t="shared" si="10"/>
        <v>-3.4942401058941871E-3</v>
      </c>
      <c r="H178" s="9">
        <f t="shared" si="11"/>
        <v>4.0331344446494994E-3</v>
      </c>
    </row>
    <row r="179" spans="1:8" ht="20" customHeight="1">
      <c r="A179" s="10">
        <v>45882</v>
      </c>
      <c r="B179" s="11">
        <v>3358.699951171875</v>
      </c>
      <c r="C179" s="11">
        <v>38.499000549316413</v>
      </c>
      <c r="D179" s="11">
        <v>4021.75</v>
      </c>
      <c r="E179" s="12">
        <f t="shared" si="8"/>
        <v>434287.51</v>
      </c>
      <c r="F179" s="12">
        <f t="shared" si="9"/>
        <v>4978.01</v>
      </c>
      <c r="G179" s="13">
        <f t="shared" si="10"/>
        <v>3.6750400100689158E-3</v>
      </c>
      <c r="H179" s="13">
        <f t="shared" si="11"/>
        <v>1.6590528041954142E-2</v>
      </c>
    </row>
    <row r="180" spans="1:8" ht="20" customHeight="1">
      <c r="A180" s="6">
        <v>45883</v>
      </c>
      <c r="B180" s="7">
        <v>3335.199951171875</v>
      </c>
      <c r="C180" s="7">
        <v>37.981998443603523</v>
      </c>
      <c r="D180" s="7">
        <v>4049.449951171875</v>
      </c>
      <c r="E180" s="8">
        <f t="shared" si="8"/>
        <v>434219.15</v>
      </c>
      <c r="F180" s="8">
        <f t="shared" si="9"/>
        <v>4944.9799999999996</v>
      </c>
      <c r="G180" s="9">
        <f t="shared" si="10"/>
        <v>-1.5740724387856798E-4</v>
      </c>
      <c r="H180" s="9">
        <f t="shared" si="11"/>
        <v>-6.635181528361866E-3</v>
      </c>
    </row>
    <row r="181" spans="1:8" ht="20" customHeight="1">
      <c r="A181" s="10">
        <v>45884</v>
      </c>
      <c r="B181" s="11">
        <v>3336</v>
      </c>
      <c r="C181" s="11">
        <v>37.894001007080078</v>
      </c>
      <c r="D181" s="11">
        <v>4049.449951171875</v>
      </c>
      <c r="E181" s="12">
        <f t="shared" si="8"/>
        <v>434323.31</v>
      </c>
      <c r="F181" s="12">
        <f t="shared" si="9"/>
        <v>4933.53</v>
      </c>
      <c r="G181" s="13">
        <f t="shared" si="10"/>
        <v>2.3987887222379388E-4</v>
      </c>
      <c r="H181" s="13">
        <f t="shared" si="11"/>
        <v>-2.3154795368231658E-3</v>
      </c>
    </row>
    <row r="182" spans="1:8" ht="20" customHeight="1">
      <c r="A182" s="6">
        <v>45886</v>
      </c>
      <c r="B182" s="7">
        <v>3336</v>
      </c>
      <c r="C182" s="7">
        <v>37.894001007080078</v>
      </c>
      <c r="D182" s="7">
        <v>4045.159912109375</v>
      </c>
      <c r="E182" s="8">
        <f t="shared" si="8"/>
        <v>433863.18</v>
      </c>
      <c r="F182" s="8">
        <f t="shared" si="9"/>
        <v>4928.3</v>
      </c>
      <c r="G182" s="9">
        <f t="shared" si="10"/>
        <v>-1.0594181555671157E-3</v>
      </c>
      <c r="H182" s="9">
        <f t="shared" si="11"/>
        <v>-1.0600928746758536E-3</v>
      </c>
    </row>
    <row r="183" spans="1:8" ht="20" customHeight="1">
      <c r="A183" s="10">
        <v>45887</v>
      </c>
      <c r="B183" s="11">
        <v>3331.699951171875</v>
      </c>
      <c r="C183" s="11">
        <v>37.951000213623047</v>
      </c>
      <c r="D183" s="11">
        <v>4013.25</v>
      </c>
      <c r="E183" s="12">
        <f t="shared" si="8"/>
        <v>429885.86</v>
      </c>
      <c r="F183" s="12">
        <f t="shared" si="9"/>
        <v>4896.78</v>
      </c>
      <c r="G183" s="13">
        <f t="shared" si="10"/>
        <v>-9.1672217955900449E-3</v>
      </c>
      <c r="H183" s="13">
        <f t="shared" si="11"/>
        <v>-6.3957145465983068E-3</v>
      </c>
    </row>
    <row r="184" spans="1:8" ht="20" customHeight="1">
      <c r="A184" s="6">
        <v>45888</v>
      </c>
      <c r="B184" s="7">
        <v>3313.39990234375</v>
      </c>
      <c r="C184" s="7">
        <v>37.261001586914063</v>
      </c>
      <c r="D184" s="7">
        <v>4031.8798828125</v>
      </c>
      <c r="E184" s="8">
        <f t="shared" si="8"/>
        <v>429509.23</v>
      </c>
      <c r="F184" s="8">
        <f t="shared" si="9"/>
        <v>4830.07</v>
      </c>
      <c r="G184" s="9">
        <f t="shared" si="10"/>
        <v>-8.7611627886528918E-4</v>
      </c>
      <c r="H184" s="9">
        <f t="shared" si="11"/>
        <v>-1.3623238127912636E-2</v>
      </c>
    </row>
    <row r="185" spans="1:8" ht="20" customHeight="1">
      <c r="A185" s="10">
        <v>45889</v>
      </c>
      <c r="B185" s="11">
        <v>3343.39990234375</v>
      </c>
      <c r="C185" s="11">
        <v>37.705001831054688</v>
      </c>
      <c r="D185" s="11">
        <v>4024.949951171875</v>
      </c>
      <c r="E185" s="12">
        <f t="shared" si="8"/>
        <v>432653.15</v>
      </c>
      <c r="F185" s="12">
        <f t="shared" si="9"/>
        <v>4879.22</v>
      </c>
      <c r="G185" s="13">
        <f t="shared" si="10"/>
        <v>7.3197961310401691E-3</v>
      </c>
      <c r="H185" s="13">
        <f t="shared" si="11"/>
        <v>1.0175835960969623E-2</v>
      </c>
    </row>
    <row r="186" spans="1:8" ht="20" customHeight="1">
      <c r="A186" s="6">
        <v>45890</v>
      </c>
      <c r="B186" s="7">
        <v>3336.89990234375</v>
      </c>
      <c r="C186" s="7">
        <v>38.027000427246087</v>
      </c>
      <c r="D186" s="7">
        <v>4032.699951171875</v>
      </c>
      <c r="E186" s="8">
        <f t="shared" si="8"/>
        <v>432643.47</v>
      </c>
      <c r="F186" s="8">
        <f t="shared" si="9"/>
        <v>4930.3599999999997</v>
      </c>
      <c r="G186" s="9">
        <f t="shared" si="10"/>
        <v>-2.2373580314973373E-5</v>
      </c>
      <c r="H186" s="9">
        <f t="shared" si="11"/>
        <v>1.0481183467849249E-2</v>
      </c>
    </row>
    <row r="187" spans="1:8" ht="20" customHeight="1">
      <c r="A187" s="10">
        <v>45891</v>
      </c>
      <c r="B187" s="11">
        <v>3374.39990234375</v>
      </c>
      <c r="C187" s="11">
        <v>39.002998352050781</v>
      </c>
      <c r="D187" s="11">
        <v>4032.699951171875</v>
      </c>
      <c r="E187" s="12">
        <f t="shared" si="8"/>
        <v>437505.5</v>
      </c>
      <c r="F187" s="12">
        <f t="shared" si="9"/>
        <v>5056.91</v>
      </c>
      <c r="G187" s="13">
        <f t="shared" si="10"/>
        <v>1.1237959976606208E-2</v>
      </c>
      <c r="H187" s="13">
        <f t="shared" si="11"/>
        <v>2.5667496896778368E-2</v>
      </c>
    </row>
    <row r="188" spans="1:8" ht="20" customHeight="1">
      <c r="A188" s="6">
        <v>45893</v>
      </c>
      <c r="B188" s="7">
        <v>3374.39990234375</v>
      </c>
      <c r="C188" s="7">
        <v>39.002998352050781</v>
      </c>
      <c r="D188" s="7">
        <v>3984.860107421875</v>
      </c>
      <c r="E188" s="8">
        <f t="shared" si="8"/>
        <v>432315.39</v>
      </c>
      <c r="F188" s="8">
        <f t="shared" si="9"/>
        <v>4996.92</v>
      </c>
      <c r="G188" s="9">
        <f t="shared" si="10"/>
        <v>-1.1862959437081331E-2</v>
      </c>
      <c r="H188" s="9">
        <f t="shared" si="11"/>
        <v>-1.1862975611588852E-2</v>
      </c>
    </row>
    <row r="189" spans="1:8" ht="20" customHeight="1">
      <c r="A189" s="10">
        <v>45894</v>
      </c>
      <c r="B189" s="11">
        <v>3373.800048828125</v>
      </c>
      <c r="C189" s="11">
        <v>38.676998138427727</v>
      </c>
      <c r="D189" s="11">
        <v>4024</v>
      </c>
      <c r="E189" s="12">
        <f t="shared" si="8"/>
        <v>436484.05</v>
      </c>
      <c r="F189" s="12">
        <f t="shared" si="9"/>
        <v>5003.82</v>
      </c>
      <c r="G189" s="13">
        <f t="shared" si="10"/>
        <v>9.6426361319220544E-3</v>
      </c>
      <c r="H189" s="13">
        <f t="shared" si="11"/>
        <v>1.3808506039719739E-3</v>
      </c>
    </row>
    <row r="190" spans="1:8" ht="20" customHeight="1">
      <c r="A190" s="6">
        <v>45895</v>
      </c>
      <c r="B190" s="7">
        <v>3388.60009765625</v>
      </c>
      <c r="C190" s="7">
        <v>38.582000732421882</v>
      </c>
      <c r="D190" s="7">
        <v>4053.3701171875</v>
      </c>
      <c r="E190" s="8">
        <f t="shared" si="8"/>
        <v>441598.55</v>
      </c>
      <c r="F190" s="8">
        <f t="shared" si="9"/>
        <v>5027.96</v>
      </c>
      <c r="G190" s="9">
        <f t="shared" si="10"/>
        <v>1.1717495748126422E-2</v>
      </c>
      <c r="H190" s="9">
        <f t="shared" si="11"/>
        <v>4.8243142239329812E-3</v>
      </c>
    </row>
    <row r="191" spans="1:8" ht="20" customHeight="1">
      <c r="A191" s="10">
        <v>45896</v>
      </c>
      <c r="B191" s="11">
        <v>3404.60009765625</v>
      </c>
      <c r="C191" s="11">
        <v>38.688999176025391</v>
      </c>
      <c r="D191" s="11">
        <v>4027.360107421875</v>
      </c>
      <c r="E191" s="12">
        <f t="shared" si="8"/>
        <v>440836.59</v>
      </c>
      <c r="F191" s="12">
        <f t="shared" si="9"/>
        <v>5009.55</v>
      </c>
      <c r="G191" s="13">
        <f t="shared" si="10"/>
        <v>-1.7254585641188422E-3</v>
      </c>
      <c r="H191" s="13">
        <f t="shared" si="11"/>
        <v>-3.6615247535779628E-3</v>
      </c>
    </row>
    <row r="192" spans="1:8" ht="20" customHeight="1">
      <c r="A192" s="6">
        <v>45897</v>
      </c>
      <c r="B192" s="7">
        <v>3431.800048828125</v>
      </c>
      <c r="C192" s="7">
        <v>39.189998626708977</v>
      </c>
      <c r="D192" s="7">
        <v>4024.800048828125</v>
      </c>
      <c r="E192" s="8">
        <f t="shared" si="8"/>
        <v>444076.05</v>
      </c>
      <c r="F192" s="8">
        <f t="shared" si="9"/>
        <v>5071.2</v>
      </c>
      <c r="G192" s="9">
        <f t="shared" si="10"/>
        <v>7.3484372066301542E-3</v>
      </c>
      <c r="H192" s="9">
        <f t="shared" si="11"/>
        <v>1.230649459532286E-2</v>
      </c>
    </row>
    <row r="193" spans="1:8" ht="20" customHeight="1">
      <c r="A193" s="10">
        <v>45898</v>
      </c>
      <c r="B193" s="11">
        <v>3473.699951171875</v>
      </c>
      <c r="C193" s="11">
        <v>40.200000762939453</v>
      </c>
      <c r="D193" s="11">
        <v>4024.800048828125</v>
      </c>
      <c r="E193" s="12">
        <f t="shared" si="8"/>
        <v>449497.91</v>
      </c>
      <c r="F193" s="12">
        <f t="shared" si="9"/>
        <v>5201.8900000000003</v>
      </c>
      <c r="G193" s="13">
        <f t="shared" si="10"/>
        <v>1.2209305140414545E-2</v>
      </c>
      <c r="H193" s="13">
        <f t="shared" si="11"/>
        <v>2.5771020665720245E-2</v>
      </c>
    </row>
    <row r="194" spans="1:8" ht="20" customHeight="1">
      <c r="A194" s="6">
        <v>45900</v>
      </c>
      <c r="B194" s="7">
        <v>3473.699951171875</v>
      </c>
      <c r="C194" s="7">
        <v>40.200000762939453</v>
      </c>
      <c r="D194" s="7">
        <v>4013.989990234375</v>
      </c>
      <c r="E194" s="8">
        <f t="shared" ref="E194:E257" si="12">ROUND((B194/31.1034768)*D194, 2)</f>
        <v>448290.62</v>
      </c>
      <c r="F194" s="8">
        <f t="shared" ref="F194:F257" si="13">ROUND((C194/31.1034768)*D194, 2)</f>
        <v>5187.92</v>
      </c>
      <c r="G194" s="9">
        <f t="shared" si="10"/>
        <v>-2.6858634337142504E-3</v>
      </c>
      <c r="H194" s="9">
        <f t="shared" si="11"/>
        <v>-2.6855623629104524E-3</v>
      </c>
    </row>
    <row r="195" spans="1:8" ht="20" customHeight="1">
      <c r="A195" s="10">
        <v>45901</v>
      </c>
      <c r="B195" s="11">
        <v>3473.699951171875</v>
      </c>
      <c r="C195" s="11">
        <v>40.200000762939453</v>
      </c>
      <c r="D195" s="11">
        <v>4013.35009765625</v>
      </c>
      <c r="E195" s="12">
        <f t="shared" si="12"/>
        <v>448219.15</v>
      </c>
      <c r="F195" s="12">
        <f t="shared" si="13"/>
        <v>5187.09</v>
      </c>
      <c r="G195" s="13">
        <f t="shared" ref="G195:G258" si="14">IFERROR((E195-E194)/E194, 0)</f>
        <v>-1.5942782831363292E-4</v>
      </c>
      <c r="H195" s="13">
        <f t="shared" ref="H195:H258" si="15">IFERROR((F195-F194)/F194, 0)</f>
        <v>-1.5998704683185694E-4</v>
      </c>
    </row>
    <row r="196" spans="1:8" ht="20" customHeight="1">
      <c r="A196" s="6">
        <v>45902</v>
      </c>
      <c r="B196" s="7">
        <v>3549.39990234375</v>
      </c>
      <c r="C196" s="7">
        <v>41.070999145507813</v>
      </c>
      <c r="D196" s="7">
        <v>4003.39990234375</v>
      </c>
      <c r="E196" s="8">
        <f t="shared" si="12"/>
        <v>456851.41</v>
      </c>
      <c r="F196" s="8">
        <f t="shared" si="13"/>
        <v>5286.34</v>
      </c>
      <c r="G196" s="9">
        <f t="shared" si="14"/>
        <v>1.9259016487805019E-2</v>
      </c>
      <c r="H196" s="9">
        <f t="shared" si="15"/>
        <v>1.9134042401423534E-2</v>
      </c>
    </row>
    <row r="197" spans="1:8" ht="20" customHeight="1">
      <c r="A197" s="10">
        <v>45903</v>
      </c>
      <c r="B197" s="11">
        <v>3593.199951171875</v>
      </c>
      <c r="C197" s="11">
        <v>41.541999816894531</v>
      </c>
      <c r="D197" s="11">
        <v>4004.25</v>
      </c>
      <c r="E197" s="12">
        <f t="shared" si="12"/>
        <v>462587.22</v>
      </c>
      <c r="F197" s="12">
        <f t="shared" si="13"/>
        <v>5348.1</v>
      </c>
      <c r="G197" s="13">
        <f t="shared" si="14"/>
        <v>1.2555088754131236E-2</v>
      </c>
      <c r="H197" s="13">
        <f t="shared" si="15"/>
        <v>1.1682941316676607E-2</v>
      </c>
    </row>
    <row r="198" spans="1:8" ht="20" customHeight="1">
      <c r="A198" s="6">
        <v>45904</v>
      </c>
      <c r="B198" s="7">
        <v>3565.800048828125</v>
      </c>
      <c r="C198" s="7">
        <v>40.910999298095703</v>
      </c>
      <c r="D198" s="7">
        <v>3985.25</v>
      </c>
      <c r="E198" s="8">
        <f t="shared" si="12"/>
        <v>456881.55</v>
      </c>
      <c r="F198" s="8">
        <f t="shared" si="13"/>
        <v>5241.88</v>
      </c>
      <c r="G198" s="9">
        <f t="shared" si="14"/>
        <v>-1.233425774278845E-2</v>
      </c>
      <c r="H198" s="9">
        <f t="shared" si="15"/>
        <v>-1.9861259138759607E-2</v>
      </c>
    </row>
    <row r="199" spans="1:8" ht="20" customHeight="1">
      <c r="A199" s="10">
        <v>45905</v>
      </c>
      <c r="B199" s="11">
        <v>3613.199951171875</v>
      </c>
      <c r="C199" s="11">
        <v>41.074001312255859</v>
      </c>
      <c r="D199" s="11">
        <v>3985.25</v>
      </c>
      <c r="E199" s="12">
        <f t="shared" si="12"/>
        <v>462954.84</v>
      </c>
      <c r="F199" s="12">
        <f t="shared" si="13"/>
        <v>5262.76</v>
      </c>
      <c r="G199" s="13">
        <f t="shared" si="14"/>
        <v>1.3292920232826293E-2</v>
      </c>
      <c r="H199" s="13">
        <f t="shared" si="15"/>
        <v>3.9833037001991856E-3</v>
      </c>
    </row>
    <row r="200" spans="1:8" ht="20" customHeight="1">
      <c r="A200" s="6">
        <v>45907</v>
      </c>
      <c r="B200" s="7">
        <v>3613.199951171875</v>
      </c>
      <c r="C200" s="7">
        <v>41.074001312255859</v>
      </c>
      <c r="D200" s="7">
        <v>3966.489990234375</v>
      </c>
      <c r="E200" s="8">
        <f t="shared" si="12"/>
        <v>460775.54</v>
      </c>
      <c r="F200" s="8">
        <f t="shared" si="13"/>
        <v>5237.99</v>
      </c>
      <c r="G200" s="9">
        <f t="shared" si="14"/>
        <v>-4.7073705936415879E-3</v>
      </c>
      <c r="H200" s="9">
        <f t="shared" si="15"/>
        <v>-4.7066558231803153E-3</v>
      </c>
    </row>
    <row r="201" spans="1:8" ht="20" customHeight="1">
      <c r="A201" s="10">
        <v>45908</v>
      </c>
      <c r="B201" s="11">
        <v>3638.10009765625</v>
      </c>
      <c r="C201" s="11">
        <v>41.425998687744141</v>
      </c>
      <c r="D201" s="11">
        <v>3938.25</v>
      </c>
      <c r="E201" s="12">
        <f t="shared" si="12"/>
        <v>460647.79</v>
      </c>
      <c r="F201" s="12">
        <f t="shared" si="13"/>
        <v>5245.26</v>
      </c>
      <c r="G201" s="13">
        <f t="shared" si="14"/>
        <v>-2.7724995992625825E-4</v>
      </c>
      <c r="H201" s="13">
        <f t="shared" si="15"/>
        <v>1.3879369758247795E-3</v>
      </c>
    </row>
    <row r="202" spans="1:8" ht="20" customHeight="1">
      <c r="A202" s="6">
        <v>45909</v>
      </c>
      <c r="B202" s="7">
        <v>3643.300048828125</v>
      </c>
      <c r="C202" s="7">
        <v>40.877998352050781</v>
      </c>
      <c r="D202" s="7">
        <v>3921.75</v>
      </c>
      <c r="E202" s="8">
        <f t="shared" si="12"/>
        <v>459373.47</v>
      </c>
      <c r="F202" s="8">
        <f t="shared" si="13"/>
        <v>5154.1899999999996</v>
      </c>
      <c r="G202" s="9">
        <f t="shared" si="14"/>
        <v>-2.7663651658895554E-3</v>
      </c>
      <c r="H202" s="9">
        <f t="shared" si="15"/>
        <v>-1.7362342381502655E-2</v>
      </c>
    </row>
    <row r="203" spans="1:8" ht="20" customHeight="1">
      <c r="A203" s="10">
        <v>45910</v>
      </c>
      <c r="B203" s="11">
        <v>3643.60009765625</v>
      </c>
      <c r="C203" s="11">
        <v>41.132999420166023</v>
      </c>
      <c r="D203" s="11">
        <v>3922.3798828125</v>
      </c>
      <c r="E203" s="12">
        <f t="shared" si="12"/>
        <v>459485.09</v>
      </c>
      <c r="F203" s="12">
        <f t="shared" si="13"/>
        <v>5187.18</v>
      </c>
      <c r="G203" s="13">
        <f t="shared" si="14"/>
        <v>2.4298312220784879E-4</v>
      </c>
      <c r="H203" s="13">
        <f t="shared" si="15"/>
        <v>6.4006177498308545E-3</v>
      </c>
    </row>
    <row r="204" spans="1:8" ht="20" customHeight="1">
      <c r="A204" s="6">
        <v>45911</v>
      </c>
      <c r="B204" s="7">
        <v>3636.89990234375</v>
      </c>
      <c r="C204" s="7">
        <v>41.696998596191413</v>
      </c>
      <c r="D204" s="7">
        <v>3894.52001953125</v>
      </c>
      <c r="E204" s="8">
        <f t="shared" si="12"/>
        <v>455382.51</v>
      </c>
      <c r="F204" s="8">
        <f t="shared" si="13"/>
        <v>5220.95</v>
      </c>
      <c r="G204" s="9">
        <f t="shared" si="14"/>
        <v>-8.9286466292083956E-3</v>
      </c>
      <c r="H204" s="9">
        <f t="shared" si="15"/>
        <v>6.5102811161362288E-3</v>
      </c>
    </row>
    <row r="205" spans="1:8" ht="20" customHeight="1">
      <c r="A205" s="10">
        <v>45912</v>
      </c>
      <c r="B205" s="11">
        <v>3649.39990234375</v>
      </c>
      <c r="C205" s="11">
        <v>42.387001037597663</v>
      </c>
      <c r="D205" s="11">
        <v>3894.52001953125</v>
      </c>
      <c r="E205" s="12">
        <f t="shared" si="12"/>
        <v>456947.66</v>
      </c>
      <c r="F205" s="12">
        <f t="shared" si="13"/>
        <v>5307.35</v>
      </c>
      <c r="G205" s="13">
        <f t="shared" si="14"/>
        <v>3.4370006876196565E-3</v>
      </c>
      <c r="H205" s="13">
        <f t="shared" si="15"/>
        <v>1.6548712399084564E-2</v>
      </c>
    </row>
    <row r="206" spans="1:8" ht="20" customHeight="1">
      <c r="A206" s="6">
        <v>45914</v>
      </c>
      <c r="B206" s="7">
        <v>3649.39990234375</v>
      </c>
      <c r="C206" s="7">
        <v>42.387001037597663</v>
      </c>
      <c r="D206" s="7">
        <v>3851.14453125</v>
      </c>
      <c r="E206" s="8">
        <f t="shared" si="12"/>
        <v>451858.37</v>
      </c>
      <c r="F206" s="8">
        <f t="shared" si="13"/>
        <v>5248.24</v>
      </c>
      <c r="G206" s="9">
        <f t="shared" si="14"/>
        <v>-1.1137577551004373E-2</v>
      </c>
      <c r="H206" s="9">
        <f t="shared" si="15"/>
        <v>-1.1137384947290187E-2</v>
      </c>
    </row>
    <row r="207" spans="1:8" ht="20" customHeight="1">
      <c r="A207" s="10">
        <v>45915</v>
      </c>
      <c r="B207" s="11">
        <v>3682.199951171875</v>
      </c>
      <c r="C207" s="11">
        <v>42.516998291015618</v>
      </c>
      <c r="D207" s="11">
        <v>3906.320068359375</v>
      </c>
      <c r="E207" s="12">
        <f t="shared" si="12"/>
        <v>462451.57</v>
      </c>
      <c r="F207" s="12">
        <f t="shared" si="13"/>
        <v>5339.76</v>
      </c>
      <c r="G207" s="13">
        <f t="shared" si="14"/>
        <v>2.3443629029157989E-2</v>
      </c>
      <c r="H207" s="13">
        <f t="shared" si="15"/>
        <v>1.7438226910354793E-2</v>
      </c>
    </row>
    <row r="208" spans="1:8" ht="20" customHeight="1">
      <c r="A208" s="6">
        <v>45916</v>
      </c>
      <c r="B208" s="7">
        <v>3688.89990234375</v>
      </c>
      <c r="C208" s="7">
        <v>42.471000671386719</v>
      </c>
      <c r="D208" s="7">
        <v>3865.8798828125</v>
      </c>
      <c r="E208" s="8">
        <f t="shared" si="12"/>
        <v>458496.78</v>
      </c>
      <c r="F208" s="8">
        <f t="shared" si="13"/>
        <v>5278.76</v>
      </c>
      <c r="G208" s="9">
        <f t="shared" si="14"/>
        <v>-8.551792785566668E-3</v>
      </c>
      <c r="H208" s="9">
        <f t="shared" si="15"/>
        <v>-1.1423734400047942E-2</v>
      </c>
    </row>
    <row r="209" spans="1:8" ht="20" customHeight="1">
      <c r="A209" s="10">
        <v>45917</v>
      </c>
      <c r="B209" s="11">
        <v>3681.800048828125</v>
      </c>
      <c r="C209" s="11">
        <v>41.722000122070313</v>
      </c>
      <c r="D209" s="11">
        <v>3875.590087890625</v>
      </c>
      <c r="E209" s="12">
        <f t="shared" si="12"/>
        <v>458763.75</v>
      </c>
      <c r="F209" s="12">
        <f t="shared" si="13"/>
        <v>5198.6899999999996</v>
      </c>
      <c r="G209" s="13">
        <f t="shared" si="14"/>
        <v>5.8227235532596776E-4</v>
      </c>
      <c r="H209" s="13">
        <f t="shared" si="15"/>
        <v>-1.5168334987762395E-2</v>
      </c>
    </row>
    <row r="210" spans="1:8" ht="20" customHeight="1">
      <c r="A210" s="6">
        <v>45918</v>
      </c>
      <c r="B210" s="7">
        <v>3643.699951171875</v>
      </c>
      <c r="C210" s="7">
        <v>41.707000732421882</v>
      </c>
      <c r="D210" s="7">
        <v>3892.5</v>
      </c>
      <c r="E210" s="8">
        <f t="shared" si="12"/>
        <v>455997.32</v>
      </c>
      <c r="F210" s="8">
        <f t="shared" si="13"/>
        <v>5219.5</v>
      </c>
      <c r="G210" s="9">
        <f t="shared" si="14"/>
        <v>-6.030184381394548E-3</v>
      </c>
      <c r="H210" s="9">
        <f t="shared" si="15"/>
        <v>4.0029315077452976E-3</v>
      </c>
    </row>
    <row r="211" spans="1:8" ht="20" customHeight="1">
      <c r="A211" s="10">
        <v>45919</v>
      </c>
      <c r="B211" s="11">
        <v>3671.5</v>
      </c>
      <c r="C211" s="11">
        <v>42.535999298095703</v>
      </c>
      <c r="D211" s="11">
        <v>3892.5</v>
      </c>
      <c r="E211" s="12">
        <f t="shared" si="12"/>
        <v>459476.41</v>
      </c>
      <c r="F211" s="12">
        <f t="shared" si="13"/>
        <v>5323.24</v>
      </c>
      <c r="G211" s="13">
        <f t="shared" si="14"/>
        <v>7.6296281741304256E-3</v>
      </c>
      <c r="H211" s="13">
        <f t="shared" si="15"/>
        <v>1.9875466998754629E-2</v>
      </c>
    </row>
    <row r="212" spans="1:8" ht="20" customHeight="1">
      <c r="A212" s="6">
        <v>45921</v>
      </c>
      <c r="B212" s="7">
        <v>3671.5</v>
      </c>
      <c r="C212" s="7">
        <v>42.535999298095703</v>
      </c>
      <c r="D212" s="7">
        <v>3898.89990234375</v>
      </c>
      <c r="E212" s="8">
        <f t="shared" si="12"/>
        <v>460231.86</v>
      </c>
      <c r="F212" s="8">
        <f t="shared" si="13"/>
        <v>5332</v>
      </c>
      <c r="G212" s="9">
        <f t="shared" si="14"/>
        <v>1.6441540491709066E-3</v>
      </c>
      <c r="H212" s="9">
        <f t="shared" si="15"/>
        <v>1.6456143251103123E-3</v>
      </c>
    </row>
    <row r="213" spans="1:8" ht="20" customHeight="1">
      <c r="A213" s="10">
        <v>45922</v>
      </c>
      <c r="B213" s="11">
        <v>3740.699951171875</v>
      </c>
      <c r="C213" s="11">
        <v>43.798999786376953</v>
      </c>
      <c r="D213" s="11">
        <v>3851.199951171875</v>
      </c>
      <c r="E213" s="12">
        <f t="shared" si="12"/>
        <v>463169.55</v>
      </c>
      <c r="F213" s="12">
        <f t="shared" si="13"/>
        <v>5423.15</v>
      </c>
      <c r="G213" s="13">
        <f t="shared" si="14"/>
        <v>6.3830652662768767E-3</v>
      </c>
      <c r="H213" s="13">
        <f t="shared" si="15"/>
        <v>1.7094898724681101E-2</v>
      </c>
    </row>
    <row r="214" spans="1:8" ht="20" customHeight="1">
      <c r="A214" s="6">
        <v>45923</v>
      </c>
      <c r="B214" s="7">
        <v>3780.60009765625</v>
      </c>
      <c r="C214" s="7">
        <v>44.192001342773438</v>
      </c>
      <c r="D214" s="7">
        <v>3860.25</v>
      </c>
      <c r="E214" s="8">
        <f t="shared" si="12"/>
        <v>469209.97</v>
      </c>
      <c r="F214" s="8">
        <f t="shared" si="13"/>
        <v>5484.67</v>
      </c>
      <c r="G214" s="9">
        <f t="shared" si="14"/>
        <v>1.3041487723016299E-2</v>
      </c>
      <c r="H214" s="9">
        <f t="shared" si="15"/>
        <v>1.1343960613296782E-2</v>
      </c>
    </row>
    <row r="215" spans="1:8" ht="20" customHeight="1">
      <c r="A215" s="10">
        <v>45924</v>
      </c>
      <c r="B215" s="11">
        <v>3732.10009765625</v>
      </c>
      <c r="C215" s="11">
        <v>43.777000427246087</v>
      </c>
      <c r="D215" s="11">
        <v>3885.239990234375</v>
      </c>
      <c r="E215" s="12">
        <f t="shared" si="12"/>
        <v>466189.19</v>
      </c>
      <c r="F215" s="12">
        <f t="shared" si="13"/>
        <v>5468.33</v>
      </c>
      <c r="G215" s="13">
        <f t="shared" si="14"/>
        <v>-6.4380132417049237E-3</v>
      </c>
      <c r="H215" s="13">
        <f t="shared" si="15"/>
        <v>-2.9792129699690493E-3</v>
      </c>
    </row>
    <row r="216" spans="1:8" ht="20" customHeight="1">
      <c r="A216" s="6">
        <v>45925</v>
      </c>
      <c r="B216" s="7">
        <v>3736.89990234375</v>
      </c>
      <c r="C216" s="7">
        <v>44.696998596191413</v>
      </c>
      <c r="D216" s="7">
        <v>3900.25</v>
      </c>
      <c r="E216" s="8">
        <f t="shared" si="12"/>
        <v>468592.11</v>
      </c>
      <c r="F216" s="8">
        <f t="shared" si="13"/>
        <v>5604.82</v>
      </c>
      <c r="G216" s="9">
        <f t="shared" si="14"/>
        <v>5.154388071503725E-3</v>
      </c>
      <c r="H216" s="9">
        <f t="shared" si="15"/>
        <v>2.4960088363357696E-2</v>
      </c>
    </row>
    <row r="217" spans="1:8" ht="20" customHeight="1">
      <c r="A217" s="10">
        <v>45926</v>
      </c>
      <c r="B217" s="11">
        <v>3775.300048828125</v>
      </c>
      <c r="C217" s="11">
        <v>46.221000671386719</v>
      </c>
      <c r="D217" s="11">
        <v>3900.25</v>
      </c>
      <c r="E217" s="12">
        <f t="shared" si="12"/>
        <v>473407.33</v>
      </c>
      <c r="F217" s="12">
        <f t="shared" si="13"/>
        <v>5795.93</v>
      </c>
      <c r="G217" s="13">
        <f t="shared" si="14"/>
        <v>1.0275930595587771E-2</v>
      </c>
      <c r="H217" s="13">
        <f t="shared" si="15"/>
        <v>3.4097437562669378E-2</v>
      </c>
    </row>
    <row r="218" spans="1:8" ht="20" customHeight="1">
      <c r="A218" s="6">
        <v>45928</v>
      </c>
      <c r="B218" s="7">
        <v>3775.300048828125</v>
      </c>
      <c r="C218" s="7">
        <v>46.221000671386719</v>
      </c>
      <c r="D218" s="7">
        <v>3899.360107421875</v>
      </c>
      <c r="E218" s="8">
        <f t="shared" si="12"/>
        <v>473299.32</v>
      </c>
      <c r="F218" s="8">
        <f t="shared" si="13"/>
        <v>5794.6</v>
      </c>
      <c r="G218" s="9">
        <f t="shared" si="14"/>
        <v>-2.281544732313488E-4</v>
      </c>
      <c r="H218" s="9">
        <f t="shared" si="15"/>
        <v>-2.2947137042716651E-4</v>
      </c>
    </row>
    <row r="219" spans="1:8" ht="20" customHeight="1">
      <c r="A219" s="10">
        <v>45929</v>
      </c>
      <c r="B219" s="11">
        <v>3820.89990234375</v>
      </c>
      <c r="C219" s="11">
        <v>46.61199951171875</v>
      </c>
      <c r="D219" s="11">
        <v>3919</v>
      </c>
      <c r="E219" s="12">
        <f t="shared" si="12"/>
        <v>481428.71</v>
      </c>
      <c r="F219" s="12">
        <f t="shared" si="13"/>
        <v>5873.05</v>
      </c>
      <c r="G219" s="13">
        <f t="shared" si="14"/>
        <v>1.7176001858612462E-2</v>
      </c>
      <c r="H219" s="13">
        <f t="shared" si="15"/>
        <v>1.3538466848445072E-2</v>
      </c>
    </row>
    <row r="220" spans="1:8" ht="20" customHeight="1">
      <c r="A220" s="6">
        <v>45930</v>
      </c>
      <c r="B220" s="7">
        <v>3840.800048828125</v>
      </c>
      <c r="C220" s="7">
        <v>46.252998352050781</v>
      </c>
      <c r="D220" s="7">
        <v>3924.75</v>
      </c>
      <c r="E220" s="8">
        <f t="shared" si="12"/>
        <v>484646.14</v>
      </c>
      <c r="F220" s="8">
        <f t="shared" si="13"/>
        <v>5836.37</v>
      </c>
      <c r="G220" s="9">
        <f t="shared" si="14"/>
        <v>6.6830870971529574E-3</v>
      </c>
      <c r="H220" s="9">
        <f t="shared" si="15"/>
        <v>-6.2454772222270017E-3</v>
      </c>
    </row>
    <row r="221" spans="1:8" ht="20" customHeight="1">
      <c r="A221" s="10">
        <v>45931</v>
      </c>
      <c r="B221" s="11">
        <v>3867.5</v>
      </c>
      <c r="C221" s="11">
        <v>47.290000915527337</v>
      </c>
      <c r="D221" s="11">
        <v>3878.760009765625</v>
      </c>
      <c r="E221" s="12">
        <f t="shared" si="12"/>
        <v>482296.7</v>
      </c>
      <c r="F221" s="12">
        <f t="shared" si="13"/>
        <v>5897.3</v>
      </c>
      <c r="G221" s="13">
        <f t="shared" si="14"/>
        <v>-4.8477431389425743E-3</v>
      </c>
      <c r="H221" s="13">
        <f t="shared" si="15"/>
        <v>1.0439708243308818E-2</v>
      </c>
    </row>
    <row r="222" spans="1:8" ht="20" customHeight="1">
      <c r="A222" s="6">
        <v>45932</v>
      </c>
      <c r="B222" s="7">
        <v>3839.699951171875</v>
      </c>
      <c r="C222" s="7">
        <v>46</v>
      </c>
      <c r="D222" s="7">
        <v>3884.1298828125</v>
      </c>
      <c r="E222" s="8">
        <f t="shared" si="12"/>
        <v>479492.8</v>
      </c>
      <c r="F222" s="8">
        <f t="shared" si="13"/>
        <v>5744.37</v>
      </c>
      <c r="G222" s="9">
        <f t="shared" si="14"/>
        <v>-5.8136412710267831E-3</v>
      </c>
      <c r="H222" s="9">
        <f t="shared" si="15"/>
        <v>-2.5932206263883522E-2</v>
      </c>
    </row>
    <row r="223" spans="1:8" ht="20" customHeight="1">
      <c r="A223" s="10">
        <v>45933</v>
      </c>
      <c r="B223" s="11">
        <v>3880.800048828125</v>
      </c>
      <c r="C223" s="11">
        <v>47.597000122070313</v>
      </c>
      <c r="D223" s="11">
        <v>3884.1298828125</v>
      </c>
      <c r="E223" s="12">
        <f t="shared" si="12"/>
        <v>484625.29</v>
      </c>
      <c r="F223" s="12">
        <f t="shared" si="13"/>
        <v>5943.8</v>
      </c>
      <c r="G223" s="13">
        <f t="shared" si="14"/>
        <v>1.0703998057947878E-2</v>
      </c>
      <c r="H223" s="13">
        <f t="shared" si="15"/>
        <v>3.4717471193533897E-2</v>
      </c>
    </row>
    <row r="224" spans="1:8" ht="20" customHeight="1">
      <c r="A224" s="6">
        <v>45935</v>
      </c>
      <c r="B224" s="7">
        <v>3880.800048828125</v>
      </c>
      <c r="C224" s="7">
        <v>47.597000122070313</v>
      </c>
      <c r="D224" s="7">
        <v>3882.409912109375</v>
      </c>
      <c r="E224" s="8">
        <f t="shared" si="12"/>
        <v>484410.69</v>
      </c>
      <c r="F224" s="8">
        <f t="shared" si="13"/>
        <v>5941.17</v>
      </c>
      <c r="G224" s="9">
        <f t="shared" si="14"/>
        <v>-4.4281634579981728E-4</v>
      </c>
      <c r="H224" s="9">
        <f t="shared" si="15"/>
        <v>-4.4247787610621306E-4</v>
      </c>
    </row>
    <row r="225" spans="1:8" ht="20" customHeight="1">
      <c r="A225" s="10">
        <v>45936</v>
      </c>
      <c r="B225" s="11">
        <v>3948.5</v>
      </c>
      <c r="C225" s="11">
        <v>48.082000732421882</v>
      </c>
      <c r="D225" s="11">
        <v>3861.949951171875</v>
      </c>
      <c r="E225" s="12">
        <f t="shared" si="12"/>
        <v>490263.82</v>
      </c>
      <c r="F225" s="12">
        <f t="shared" si="13"/>
        <v>5970.08</v>
      </c>
      <c r="G225" s="13">
        <f t="shared" si="14"/>
        <v>1.2082990984364951E-2</v>
      </c>
      <c r="H225" s="13">
        <f t="shared" si="15"/>
        <v>4.8660449036132371E-3</v>
      </c>
    </row>
    <row r="226" spans="1:8" ht="20" customHeight="1">
      <c r="A226" s="6">
        <v>45937</v>
      </c>
      <c r="B226" s="7">
        <v>3976.60009765625</v>
      </c>
      <c r="C226" s="7">
        <v>47.179000854492188</v>
      </c>
      <c r="D226" s="7">
        <v>3874.75</v>
      </c>
      <c r="E226" s="8">
        <f t="shared" si="12"/>
        <v>495389.35</v>
      </c>
      <c r="F226" s="8">
        <f t="shared" si="13"/>
        <v>5877.38</v>
      </c>
      <c r="G226" s="9">
        <f t="shared" si="14"/>
        <v>1.0454636444516689E-2</v>
      </c>
      <c r="H226" s="9">
        <f t="shared" si="15"/>
        <v>-1.552743011818934E-2</v>
      </c>
    </row>
    <row r="227" spans="1:8" ht="20" customHeight="1">
      <c r="A227" s="10">
        <v>45938</v>
      </c>
      <c r="B227" s="11">
        <v>4043.300048828125</v>
      </c>
      <c r="C227" s="11">
        <v>48.655998229980469</v>
      </c>
      <c r="D227" s="11">
        <v>3887.5</v>
      </c>
      <c r="E227" s="12">
        <f t="shared" si="12"/>
        <v>505356.01</v>
      </c>
      <c r="F227" s="12">
        <f t="shared" si="13"/>
        <v>6081.32</v>
      </c>
      <c r="G227" s="13">
        <f t="shared" si="14"/>
        <v>2.0118841876596728E-2</v>
      </c>
      <c r="H227" s="13">
        <f t="shared" si="15"/>
        <v>3.4699134648431718E-2</v>
      </c>
    </row>
    <row r="228" spans="1:8" ht="20" customHeight="1">
      <c r="A228" s="6">
        <v>45939</v>
      </c>
      <c r="B228" s="7">
        <v>3946.300048828125</v>
      </c>
      <c r="C228" s="7">
        <v>46.849998474121087</v>
      </c>
      <c r="D228" s="7">
        <v>3887.8798828125</v>
      </c>
      <c r="E228" s="8">
        <f t="shared" si="12"/>
        <v>493280.56</v>
      </c>
      <c r="F228" s="8">
        <f t="shared" si="13"/>
        <v>5856.17</v>
      </c>
      <c r="G228" s="9">
        <f t="shared" si="14"/>
        <v>-2.389493695741347E-2</v>
      </c>
      <c r="H228" s="9">
        <f t="shared" si="15"/>
        <v>-3.7023212065801447E-2</v>
      </c>
    </row>
    <row r="229" spans="1:8" ht="20" customHeight="1">
      <c r="A229" s="10">
        <v>45940</v>
      </c>
      <c r="B229" s="11">
        <v>3975.89990234375</v>
      </c>
      <c r="C229" s="11">
        <v>46.937999725341797</v>
      </c>
      <c r="D229" s="11">
        <v>3887.8798828125</v>
      </c>
      <c r="E229" s="12">
        <f t="shared" si="12"/>
        <v>496980.49</v>
      </c>
      <c r="F229" s="12">
        <f t="shared" si="13"/>
        <v>5867.17</v>
      </c>
      <c r="G229" s="13">
        <f t="shared" si="14"/>
        <v>7.5006604760584792E-3</v>
      </c>
      <c r="H229" s="13">
        <f t="shared" si="15"/>
        <v>1.878360771630605E-3</v>
      </c>
    </row>
    <row r="230" spans="1:8" ht="20" customHeight="1">
      <c r="A230" s="6">
        <v>45942</v>
      </c>
      <c r="B230" s="7">
        <v>3975.89990234375</v>
      </c>
      <c r="C230" s="7">
        <v>46.937999725341797</v>
      </c>
      <c r="D230" s="7">
        <v>3872.22998046875</v>
      </c>
      <c r="E230" s="8">
        <f t="shared" si="12"/>
        <v>494980</v>
      </c>
      <c r="F230" s="8">
        <f t="shared" si="13"/>
        <v>5843.55</v>
      </c>
      <c r="G230" s="9">
        <f t="shared" si="14"/>
        <v>-4.0252887995663386E-3</v>
      </c>
      <c r="H230" s="9">
        <f t="shared" si="15"/>
        <v>-4.025790969070249E-3</v>
      </c>
    </row>
    <row r="231" spans="1:8" ht="20" customHeight="1">
      <c r="A231" s="10">
        <v>45943</v>
      </c>
      <c r="B231" s="11">
        <v>4108.60009765625</v>
      </c>
      <c r="C231" s="11">
        <v>50.130001068115227</v>
      </c>
      <c r="D231" s="11">
        <v>3884.552734375</v>
      </c>
      <c r="E231" s="12">
        <f t="shared" si="12"/>
        <v>513128.29</v>
      </c>
      <c r="F231" s="12">
        <f t="shared" si="13"/>
        <v>6260.8</v>
      </c>
      <c r="G231" s="13">
        <f t="shared" si="14"/>
        <v>3.6664693522970582E-2</v>
      </c>
      <c r="H231" s="13">
        <f t="shared" si="15"/>
        <v>7.1403513275320657E-2</v>
      </c>
    </row>
    <row r="232" spans="1:8" ht="20" customHeight="1">
      <c r="A232" s="6">
        <v>45944</v>
      </c>
      <c r="B232" s="7">
        <v>4138.7001953125</v>
      </c>
      <c r="C232" s="7">
        <v>50.313999176025391</v>
      </c>
      <c r="D232" s="7">
        <v>3923.5</v>
      </c>
      <c r="E232" s="8">
        <f t="shared" si="12"/>
        <v>522069.94</v>
      </c>
      <c r="F232" s="8">
        <f t="shared" si="13"/>
        <v>6346.78</v>
      </c>
      <c r="G232" s="9">
        <f t="shared" si="14"/>
        <v>1.742575916054058E-2</v>
      </c>
      <c r="H232" s="9">
        <f t="shared" si="15"/>
        <v>1.3733069256325E-2</v>
      </c>
    </row>
    <row r="233" spans="1:8" ht="20" customHeight="1">
      <c r="A233" s="10">
        <v>45945</v>
      </c>
      <c r="B233" s="11">
        <v>4176.89990234375</v>
      </c>
      <c r="C233" s="11">
        <v>51.073001861572273</v>
      </c>
      <c r="D233" s="11">
        <v>3889.699951171875</v>
      </c>
      <c r="E233" s="12">
        <f t="shared" si="12"/>
        <v>522349.56</v>
      </c>
      <c r="F233" s="12">
        <f t="shared" si="13"/>
        <v>6387.02</v>
      </c>
      <c r="G233" s="13">
        <f t="shared" si="14"/>
        <v>5.355987360620597E-4</v>
      </c>
      <c r="H233" s="13">
        <f t="shared" si="15"/>
        <v>6.3402229161875299E-3</v>
      </c>
    </row>
    <row r="234" spans="1:8" ht="20" customHeight="1">
      <c r="A234" s="6">
        <v>45946</v>
      </c>
      <c r="B234" s="7">
        <v>4280.2001953125</v>
      </c>
      <c r="C234" s="7">
        <v>53.022998809814453</v>
      </c>
      <c r="D234" s="7">
        <v>3860.75</v>
      </c>
      <c r="E234" s="8">
        <f t="shared" si="12"/>
        <v>531284.11</v>
      </c>
      <c r="F234" s="8">
        <f t="shared" si="13"/>
        <v>6581.53</v>
      </c>
      <c r="G234" s="9">
        <f t="shared" si="14"/>
        <v>1.7104542023544517E-2</v>
      </c>
      <c r="H234" s="9">
        <f t="shared" si="15"/>
        <v>3.0453951921240154E-2</v>
      </c>
    </row>
    <row r="235" spans="1:8" ht="20" customHeight="1">
      <c r="A235" s="10">
        <v>45947</v>
      </c>
      <c r="B235" s="11">
        <v>4189.89990234375</v>
      </c>
      <c r="C235" s="11">
        <v>49.863998413085938</v>
      </c>
      <c r="D235" s="11">
        <v>3860.75</v>
      </c>
      <c r="E235" s="12">
        <f t="shared" si="12"/>
        <v>520075.49</v>
      </c>
      <c r="F235" s="12">
        <f t="shared" si="13"/>
        <v>6189.42</v>
      </c>
      <c r="G235" s="13">
        <f t="shared" si="14"/>
        <v>-2.1097224232812073E-2</v>
      </c>
      <c r="H235" s="13">
        <f t="shared" si="15"/>
        <v>-5.957733232242346E-2</v>
      </c>
    </row>
    <row r="236" spans="1:8" ht="20" customHeight="1">
      <c r="A236" s="6">
        <v>45949</v>
      </c>
      <c r="B236" s="7">
        <v>4189.89990234375</v>
      </c>
      <c r="C236" s="7">
        <v>49.863998413085938</v>
      </c>
      <c r="D236" s="7">
        <v>3854.9599609375</v>
      </c>
      <c r="E236" s="8">
        <f t="shared" si="12"/>
        <v>519295.53</v>
      </c>
      <c r="F236" s="8">
        <f t="shared" si="13"/>
        <v>6180.14</v>
      </c>
      <c r="G236" s="9">
        <f t="shared" si="14"/>
        <v>-1.4997053600814042E-3</v>
      </c>
      <c r="H236" s="9">
        <f t="shared" si="15"/>
        <v>-1.499332732307671E-3</v>
      </c>
    </row>
    <row r="237" spans="1:8" ht="20" customHeight="1">
      <c r="A237" s="10">
        <v>45950</v>
      </c>
      <c r="B237" s="11">
        <v>4336.39990234375</v>
      </c>
      <c r="C237" s="11">
        <v>51.118999481201172</v>
      </c>
      <c r="D237" s="11">
        <v>3881.75</v>
      </c>
      <c r="E237" s="12">
        <f t="shared" si="12"/>
        <v>541187.74</v>
      </c>
      <c r="F237" s="12">
        <f t="shared" si="13"/>
        <v>6379.71</v>
      </c>
      <c r="G237" s="13">
        <f t="shared" si="14"/>
        <v>4.2157516741959944E-2</v>
      </c>
      <c r="H237" s="13">
        <f t="shared" si="15"/>
        <v>3.2292148721549951E-2</v>
      </c>
    </row>
    <row r="238" spans="1:8" ht="20" customHeight="1">
      <c r="A238" s="6">
        <v>45951</v>
      </c>
      <c r="B238" s="7">
        <v>4087.699951171875</v>
      </c>
      <c r="C238" s="7">
        <v>47.450000762939453</v>
      </c>
      <c r="D238" s="7">
        <v>3882</v>
      </c>
      <c r="E238" s="8">
        <f t="shared" si="12"/>
        <v>510182.55</v>
      </c>
      <c r="F238" s="8">
        <f t="shared" si="13"/>
        <v>5922.2</v>
      </c>
      <c r="G238" s="9">
        <f t="shared" si="14"/>
        <v>-5.7291005890118651E-2</v>
      </c>
      <c r="H238" s="9">
        <f t="shared" si="15"/>
        <v>-7.171329104300983E-2</v>
      </c>
    </row>
    <row r="239" spans="1:8" ht="20" customHeight="1">
      <c r="A239" s="10">
        <v>45952</v>
      </c>
      <c r="B239" s="11">
        <v>4044.39990234375</v>
      </c>
      <c r="C239" s="11">
        <v>47.46099853515625</v>
      </c>
      <c r="D239" s="11">
        <v>3909.449951171875</v>
      </c>
      <c r="E239" s="12">
        <f t="shared" si="12"/>
        <v>508347.64</v>
      </c>
      <c r="F239" s="12">
        <f t="shared" si="13"/>
        <v>5965.46</v>
      </c>
      <c r="G239" s="13">
        <f t="shared" si="14"/>
        <v>-3.5965753826742494E-3</v>
      </c>
      <c r="H239" s="13">
        <f t="shared" si="15"/>
        <v>7.3047178413427815E-3</v>
      </c>
    </row>
    <row r="240" spans="1:8" ht="20" customHeight="1">
      <c r="A240" s="6">
        <v>45953</v>
      </c>
      <c r="B240" s="7">
        <v>4125.5</v>
      </c>
      <c r="C240" s="7">
        <v>48.481998443603523</v>
      </c>
      <c r="D240" s="7">
        <v>3878.550048828125</v>
      </c>
      <c r="E240" s="8">
        <f t="shared" si="12"/>
        <v>514442.75</v>
      </c>
      <c r="F240" s="8">
        <f t="shared" si="13"/>
        <v>6045.62</v>
      </c>
      <c r="G240" s="9">
        <f t="shared" si="14"/>
        <v>1.1990042876957166E-2</v>
      </c>
      <c r="H240" s="9">
        <f t="shared" si="15"/>
        <v>1.3437354369989885E-2</v>
      </c>
    </row>
    <row r="241" spans="1:8" ht="20" customHeight="1">
      <c r="A241" s="10">
        <v>45954</v>
      </c>
      <c r="B241" s="11">
        <v>4118.39990234375</v>
      </c>
      <c r="C241" s="11">
        <v>48.376998901367188</v>
      </c>
      <c r="D241" s="11">
        <v>3878.550048828125</v>
      </c>
      <c r="E241" s="12">
        <f t="shared" si="12"/>
        <v>513557.38</v>
      </c>
      <c r="F241" s="12">
        <f t="shared" si="13"/>
        <v>6032.53</v>
      </c>
      <c r="G241" s="13">
        <f t="shared" si="14"/>
        <v>-1.7210272668824575E-3</v>
      </c>
      <c r="H241" s="13">
        <f t="shared" si="15"/>
        <v>-2.1652038996827698E-3</v>
      </c>
    </row>
    <row r="242" spans="1:8" ht="20" customHeight="1">
      <c r="A242" s="6">
        <v>45957</v>
      </c>
      <c r="B242" s="7">
        <v>4001.89990234375</v>
      </c>
      <c r="C242" s="7">
        <v>46.562000274658203</v>
      </c>
      <c r="D242" s="7">
        <v>3838.461181640625</v>
      </c>
      <c r="E242" s="8">
        <f t="shared" si="12"/>
        <v>493872.04</v>
      </c>
      <c r="F242" s="8">
        <f t="shared" si="13"/>
        <v>5746.19</v>
      </c>
      <c r="G242" s="9">
        <f t="shared" si="14"/>
        <v>-3.8331335049649223E-2</v>
      </c>
      <c r="H242" s="9">
        <f t="shared" si="15"/>
        <v>-4.746598856532834E-2</v>
      </c>
    </row>
    <row r="243" spans="1:8" ht="20" customHeight="1">
      <c r="A243" s="10">
        <v>45958</v>
      </c>
      <c r="B243" s="11">
        <v>3966.199951171875</v>
      </c>
      <c r="C243" s="11">
        <v>47.125</v>
      </c>
      <c r="D243" s="11">
        <v>3843.6298828125</v>
      </c>
      <c r="E243" s="12">
        <f t="shared" si="12"/>
        <v>490125.42</v>
      </c>
      <c r="F243" s="12">
        <f t="shared" si="13"/>
        <v>5823.5</v>
      </c>
      <c r="G243" s="13">
        <f t="shared" si="14"/>
        <v>-7.5862160570985054E-3</v>
      </c>
      <c r="H243" s="13">
        <f t="shared" si="15"/>
        <v>1.3454132216303394E-2</v>
      </c>
    </row>
    <row r="244" spans="1:8" ht="20" customHeight="1">
      <c r="A244" s="6">
        <v>45959</v>
      </c>
      <c r="B244" s="7">
        <v>3983.699951171875</v>
      </c>
      <c r="C244" s="7">
        <v>47.721000671386719</v>
      </c>
      <c r="D244" s="7">
        <v>3887.469970703125</v>
      </c>
      <c r="E244" s="8">
        <f t="shared" si="12"/>
        <v>497902.98</v>
      </c>
      <c r="F244" s="8">
        <f t="shared" si="13"/>
        <v>5964.41</v>
      </c>
      <c r="G244" s="9">
        <f t="shared" si="14"/>
        <v>1.5868509737772828E-2</v>
      </c>
      <c r="H244" s="9">
        <f t="shared" si="15"/>
        <v>2.419678887267105E-2</v>
      </c>
    </row>
    <row r="245" spans="1:8" ht="20" customHeight="1">
      <c r="A245" s="10">
        <v>45960</v>
      </c>
      <c r="B245" s="11">
        <v>4001.300048828125</v>
      </c>
      <c r="C245" s="11">
        <v>48.428001403808587</v>
      </c>
      <c r="D245" s="11">
        <v>3875.75</v>
      </c>
      <c r="E245" s="12">
        <f t="shared" si="12"/>
        <v>498595.02</v>
      </c>
      <c r="F245" s="12">
        <f t="shared" si="13"/>
        <v>6034.53</v>
      </c>
      <c r="G245" s="13">
        <f t="shared" si="14"/>
        <v>1.3899093353489014E-3</v>
      </c>
      <c r="H245" s="13">
        <f t="shared" si="15"/>
        <v>1.1756401722886235E-2</v>
      </c>
    </row>
    <row r="246" spans="1:8" ht="20" customHeight="1">
      <c r="A246" s="6">
        <v>45961</v>
      </c>
      <c r="B246" s="7">
        <v>3982.199951171875</v>
      </c>
      <c r="C246" s="7">
        <v>47.993999481201172</v>
      </c>
      <c r="D246" s="7">
        <v>3858.449951171875</v>
      </c>
      <c r="E246" s="8">
        <f t="shared" si="12"/>
        <v>494000.05</v>
      </c>
      <c r="F246" s="8">
        <f t="shared" si="13"/>
        <v>5953.75</v>
      </c>
      <c r="G246" s="9">
        <f t="shared" si="14"/>
        <v>-9.2158361308944288E-3</v>
      </c>
      <c r="H246" s="9">
        <f t="shared" si="15"/>
        <v>-1.3386295204431787E-2</v>
      </c>
    </row>
    <row r="247" spans="1:8" ht="20" customHeight="1">
      <c r="A247" s="10">
        <v>45964</v>
      </c>
      <c r="B247" s="11">
        <v>4000.300048828125</v>
      </c>
      <c r="C247" s="11">
        <v>47.88800048828125</v>
      </c>
      <c r="D247" s="11">
        <v>3808.69873046875</v>
      </c>
      <c r="E247" s="12">
        <f t="shared" si="12"/>
        <v>489846.77</v>
      </c>
      <c r="F247" s="12">
        <f t="shared" si="13"/>
        <v>5864.01</v>
      </c>
      <c r="G247" s="13">
        <f t="shared" si="14"/>
        <v>-8.4074485417561587E-3</v>
      </c>
      <c r="H247" s="13">
        <f t="shared" si="15"/>
        <v>-1.50728532437539E-2</v>
      </c>
    </row>
    <row r="248" spans="1:8" ht="20" customHeight="1">
      <c r="A248" s="6">
        <v>45965</v>
      </c>
      <c r="B248" s="7">
        <v>3947.699951171875</v>
      </c>
      <c r="C248" s="7">
        <v>47.130001068115227</v>
      </c>
      <c r="D248" s="7">
        <v>3855</v>
      </c>
      <c r="E248" s="8">
        <f t="shared" si="12"/>
        <v>489282.39</v>
      </c>
      <c r="F248" s="8">
        <f t="shared" si="13"/>
        <v>5841.35</v>
      </c>
      <c r="G248" s="9">
        <f t="shared" si="14"/>
        <v>-1.1521562140748721E-3</v>
      </c>
      <c r="H248" s="9">
        <f t="shared" si="15"/>
        <v>-3.8642498904333132E-3</v>
      </c>
    </row>
    <row r="249" spans="1:8" ht="20" customHeight="1">
      <c r="A249" s="10">
        <v>45966</v>
      </c>
      <c r="B249" s="11">
        <v>3980.300048828125</v>
      </c>
      <c r="C249" s="11">
        <v>47.862998962402337</v>
      </c>
      <c r="D249" s="11">
        <v>3860.239990234375</v>
      </c>
      <c r="E249" s="12">
        <f t="shared" si="12"/>
        <v>493993.44</v>
      </c>
      <c r="F249" s="12">
        <f t="shared" si="13"/>
        <v>5940.26</v>
      </c>
      <c r="G249" s="13">
        <f t="shared" si="14"/>
        <v>9.6284887751631291E-3</v>
      </c>
      <c r="H249" s="13">
        <f t="shared" si="15"/>
        <v>1.6932729591618349E-2</v>
      </c>
    </row>
    <row r="250" spans="1:8" ht="20" customHeight="1">
      <c r="A250" s="6">
        <v>45967</v>
      </c>
      <c r="B250" s="7">
        <v>3979.89990234375</v>
      </c>
      <c r="C250" s="7">
        <v>47.793998718261719</v>
      </c>
      <c r="D250" s="7">
        <v>3832.75</v>
      </c>
      <c r="E250" s="8">
        <f t="shared" si="12"/>
        <v>490426.25</v>
      </c>
      <c r="F250" s="8">
        <f t="shared" si="13"/>
        <v>5889.45</v>
      </c>
      <c r="G250" s="9">
        <f t="shared" si="14"/>
        <v>-7.2211282805698844E-3</v>
      </c>
      <c r="H250" s="9">
        <f t="shared" si="15"/>
        <v>-8.5534976583517223E-3</v>
      </c>
    </row>
    <row r="251" spans="1:8" ht="20" customHeight="1">
      <c r="A251" s="10">
        <v>45968</v>
      </c>
      <c r="B251" s="11">
        <v>3999.39990234375</v>
      </c>
      <c r="C251" s="11">
        <v>48.016998291015618</v>
      </c>
      <c r="D251" s="11">
        <v>3784.14990234375</v>
      </c>
      <c r="E251" s="12">
        <f t="shared" si="12"/>
        <v>486579.97</v>
      </c>
      <c r="F251" s="12">
        <f t="shared" si="13"/>
        <v>5841.9</v>
      </c>
      <c r="G251" s="13">
        <f t="shared" si="14"/>
        <v>-7.842728646763969E-3</v>
      </c>
      <c r="H251" s="13">
        <f t="shared" si="15"/>
        <v>-8.0737590097547628E-3</v>
      </c>
    </row>
    <row r="252" spans="1:8" ht="20" customHeight="1">
      <c r="A252" s="6">
        <v>45971</v>
      </c>
      <c r="B252" s="7">
        <v>4111.7998046875</v>
      </c>
      <c r="C252" s="7">
        <v>50.176998138427727</v>
      </c>
      <c r="D252" s="7">
        <v>3737.105712890625</v>
      </c>
      <c r="E252" s="8">
        <f t="shared" si="12"/>
        <v>494035.78</v>
      </c>
      <c r="F252" s="8">
        <f t="shared" si="13"/>
        <v>6028.8</v>
      </c>
      <c r="G252" s="9">
        <f t="shared" si="14"/>
        <v>1.5322887212147382E-2</v>
      </c>
      <c r="H252" s="9">
        <f t="shared" si="15"/>
        <v>3.1993015970831505E-2</v>
      </c>
    </row>
    <row r="253" spans="1:8" ht="20" customHeight="1">
      <c r="A253" s="10">
        <v>45972</v>
      </c>
      <c r="B253" s="11">
        <v>4106.7998046875</v>
      </c>
      <c r="C253" s="11">
        <v>50.618000030517578</v>
      </c>
      <c r="D253" s="11">
        <v>3751.969970703125</v>
      </c>
      <c r="E253" s="12">
        <f t="shared" si="12"/>
        <v>495397.66</v>
      </c>
      <c r="F253" s="12">
        <f t="shared" si="13"/>
        <v>6105.98</v>
      </c>
      <c r="G253" s="13">
        <f t="shared" si="14"/>
        <v>2.7566424439945348E-3</v>
      </c>
      <c r="H253" s="13">
        <f t="shared" si="15"/>
        <v>1.2801884288747243E-2</v>
      </c>
    </row>
    <row r="254" spans="1:8" ht="20" customHeight="1">
      <c r="A254" s="6">
        <v>45973</v>
      </c>
      <c r="B254" s="7">
        <v>4204.39990234375</v>
      </c>
      <c r="C254" s="7">
        <v>53.332000732421882</v>
      </c>
      <c r="D254" s="7">
        <v>3756.780029296875</v>
      </c>
      <c r="E254" s="8">
        <f t="shared" si="12"/>
        <v>507821.22</v>
      </c>
      <c r="F254" s="8">
        <f t="shared" si="13"/>
        <v>6441.61</v>
      </c>
      <c r="G254" s="9">
        <f t="shared" si="14"/>
        <v>2.5077954546656515E-2</v>
      </c>
      <c r="H254" s="9">
        <f t="shared" si="15"/>
        <v>5.4967425376434273E-2</v>
      </c>
    </row>
    <row r="255" spans="1:8" ht="20" customHeight="1">
      <c r="A255" s="10">
        <v>45974</v>
      </c>
      <c r="B255" s="11">
        <v>4186.89990234375</v>
      </c>
      <c r="C255" s="11">
        <v>53.074001312255859</v>
      </c>
      <c r="D255" s="11">
        <v>3705</v>
      </c>
      <c r="E255" s="12">
        <f t="shared" si="12"/>
        <v>498737.3</v>
      </c>
      <c r="F255" s="12">
        <f t="shared" si="13"/>
        <v>6322.1</v>
      </c>
      <c r="G255" s="13">
        <f t="shared" si="14"/>
        <v>-1.7888027601524772E-2</v>
      </c>
      <c r="H255" s="13">
        <f t="shared" si="15"/>
        <v>-1.8552815212345874E-2</v>
      </c>
    </row>
    <row r="256" spans="1:8" ht="20" customHeight="1">
      <c r="A256" s="6">
        <v>45975</v>
      </c>
      <c r="B256" s="7">
        <v>4087.60009765625</v>
      </c>
      <c r="C256" s="7">
        <v>50.590000152587891</v>
      </c>
      <c r="D256" s="7">
        <v>3746.820068359375</v>
      </c>
      <c r="E256" s="8">
        <f t="shared" si="12"/>
        <v>492404.83</v>
      </c>
      <c r="F256" s="8">
        <f t="shared" si="13"/>
        <v>6094.23</v>
      </c>
      <c r="G256" s="9">
        <f t="shared" si="14"/>
        <v>-1.2697005016468534E-2</v>
      </c>
      <c r="H256" s="9">
        <f t="shared" si="15"/>
        <v>-3.6043403299536668E-2</v>
      </c>
    </row>
    <row r="257" spans="1:8" ht="20" customHeight="1">
      <c r="A257" s="10">
        <v>45978</v>
      </c>
      <c r="B257" s="11">
        <v>4068.300048828125</v>
      </c>
      <c r="C257" s="11">
        <v>50.625</v>
      </c>
      <c r="D257" s="11">
        <v>3701.26025390625</v>
      </c>
      <c r="E257" s="12">
        <f t="shared" si="12"/>
        <v>484120.71</v>
      </c>
      <c r="F257" s="12">
        <f t="shared" si="13"/>
        <v>6024.29</v>
      </c>
      <c r="G257" s="13">
        <f t="shared" si="14"/>
        <v>-1.6823799230401528E-2</v>
      </c>
      <c r="H257" s="13">
        <f t="shared" si="15"/>
        <v>-1.1476429343821879E-2</v>
      </c>
    </row>
    <row r="258" spans="1:8" ht="20" customHeight="1">
      <c r="A258" s="6">
        <v>45979</v>
      </c>
      <c r="B258" s="7">
        <v>4061.300048828125</v>
      </c>
      <c r="C258" s="7">
        <v>50.450000762939453</v>
      </c>
      <c r="D258" s="7">
        <v>3754.5</v>
      </c>
      <c r="E258" s="8">
        <f t="shared" ref="E258:E321" si="16">ROUND((B258/31.1034768)*D258, 2)</f>
        <v>490239.44</v>
      </c>
      <c r="F258" s="8">
        <f t="shared" ref="F258:F321" si="17">ROUND((C258/31.1034768)*D258, 2)</f>
        <v>6089.82</v>
      </c>
      <c r="G258" s="9">
        <f t="shared" si="14"/>
        <v>1.2638851992099204E-2</v>
      </c>
      <c r="H258" s="9">
        <f t="shared" si="15"/>
        <v>1.0877630392959128E-2</v>
      </c>
    </row>
    <row r="259" spans="1:8" ht="20" customHeight="1">
      <c r="A259" s="10">
        <v>45980</v>
      </c>
      <c r="B259" s="11">
        <v>4077.699951171875</v>
      </c>
      <c r="C259" s="11">
        <v>50.790000915527337</v>
      </c>
      <c r="D259" s="11">
        <v>3719.800048828125</v>
      </c>
      <c r="E259" s="12">
        <f t="shared" si="16"/>
        <v>487669.87</v>
      </c>
      <c r="F259" s="12">
        <f t="shared" si="17"/>
        <v>6074.2</v>
      </c>
      <c r="G259" s="13">
        <f t="shared" ref="G259:G322" si="18">IFERROR((E259-E258)/E258, 0)</f>
        <v>-5.2414591531028329E-3</v>
      </c>
      <c r="H259" s="13">
        <f t="shared" ref="H259:H322" si="19">IFERROR((F259-F258)/F258, 0)</f>
        <v>-2.564936237852661E-3</v>
      </c>
    </row>
    <row r="260" spans="1:8" ht="20" customHeight="1">
      <c r="A260" s="6">
        <v>45981</v>
      </c>
      <c r="B260" s="7">
        <v>4056.5</v>
      </c>
      <c r="C260" s="7">
        <v>50.247001647949219</v>
      </c>
      <c r="D260" s="7">
        <v>3712.25</v>
      </c>
      <c r="E260" s="8">
        <f t="shared" si="16"/>
        <v>484149.8</v>
      </c>
      <c r="F260" s="8">
        <f t="shared" si="17"/>
        <v>5997.06</v>
      </c>
      <c r="G260" s="9">
        <f t="shared" si="18"/>
        <v>-7.2181412396874287E-3</v>
      </c>
      <c r="H260" s="9">
        <f t="shared" si="19"/>
        <v>-1.2699614764084063E-2</v>
      </c>
    </row>
    <row r="261" spans="1:8" ht="20" customHeight="1">
      <c r="A261" s="10">
        <v>45982</v>
      </c>
      <c r="B261" s="11">
        <v>4076.699951171875</v>
      </c>
      <c r="C261" s="11">
        <v>49.873001098632813</v>
      </c>
      <c r="D261" s="11">
        <v>3762.169921875</v>
      </c>
      <c r="E261" s="12">
        <f t="shared" si="16"/>
        <v>493103.65</v>
      </c>
      <c r="F261" s="12">
        <f t="shared" si="17"/>
        <v>6032.47</v>
      </c>
      <c r="G261" s="13">
        <f t="shared" si="18"/>
        <v>1.8493966123708065E-2</v>
      </c>
      <c r="H261" s="13">
        <f t="shared" si="19"/>
        <v>5.9045599010181405E-3</v>
      </c>
    </row>
    <row r="262" spans="1:8" ht="20" customHeight="1">
      <c r="A262" s="6">
        <v>45985</v>
      </c>
      <c r="B262" s="7">
        <v>4091.89990234375</v>
      </c>
      <c r="C262" s="7">
        <v>50.294998168945313</v>
      </c>
      <c r="D262" s="7">
        <v>3717.585693359375</v>
      </c>
      <c r="E262" s="8">
        <f t="shared" si="16"/>
        <v>489076.79</v>
      </c>
      <c r="F262" s="8">
        <f t="shared" si="17"/>
        <v>6011.42</v>
      </c>
      <c r="G262" s="9">
        <f t="shared" si="18"/>
        <v>-8.1663560997774897E-3</v>
      </c>
      <c r="H262" s="9">
        <f t="shared" si="19"/>
        <v>-3.4894495952736077E-3</v>
      </c>
    </row>
    <row r="263" spans="1:8" ht="20" customHeight="1">
      <c r="A263" s="10">
        <v>45986</v>
      </c>
      <c r="B263" s="11">
        <v>4139.2001953125</v>
      </c>
      <c r="C263" s="11">
        <v>50.933998107910163</v>
      </c>
      <c r="D263" s="11">
        <v>3791.25</v>
      </c>
      <c r="E263" s="12">
        <f t="shared" si="16"/>
        <v>504533.39</v>
      </c>
      <c r="F263" s="12">
        <f t="shared" si="17"/>
        <v>6208.42</v>
      </c>
      <c r="G263" s="13">
        <f t="shared" si="18"/>
        <v>3.1603626089064737E-2</v>
      </c>
      <c r="H263" s="13">
        <f t="shared" si="19"/>
        <v>3.2770959274181471E-2</v>
      </c>
    </row>
    <row r="264" spans="1:8" ht="20" customHeight="1">
      <c r="A264" s="6">
        <v>45987</v>
      </c>
      <c r="B264" s="7">
        <v>4165.2001953125</v>
      </c>
      <c r="C264" s="7">
        <v>52.916000366210938</v>
      </c>
      <c r="D264" s="7">
        <v>3802.89990234375</v>
      </c>
      <c r="E264" s="8">
        <f t="shared" si="16"/>
        <v>509262.66</v>
      </c>
      <c r="F264" s="8">
        <f t="shared" si="17"/>
        <v>6469.83</v>
      </c>
      <c r="G264" s="9">
        <f t="shared" si="18"/>
        <v>9.3735520656025566E-3</v>
      </c>
      <c r="H264" s="9">
        <f t="shared" si="19"/>
        <v>4.2105720940271416E-2</v>
      </c>
    </row>
    <row r="265" spans="1:8" ht="20" customHeight="1">
      <c r="A265" s="10">
        <v>45988</v>
      </c>
      <c r="B265" s="11">
        <v>4165.2001953125</v>
      </c>
      <c r="C265" s="11">
        <v>52.916000366210938</v>
      </c>
      <c r="D265" s="11">
        <v>3734.6298828125</v>
      </c>
      <c r="E265" s="12">
        <f t="shared" si="16"/>
        <v>500120.33</v>
      </c>
      <c r="F265" s="12">
        <f t="shared" si="17"/>
        <v>6353.68</v>
      </c>
      <c r="G265" s="13">
        <f t="shared" si="18"/>
        <v>-1.7952091755558827E-2</v>
      </c>
      <c r="H265" s="13">
        <f t="shared" si="19"/>
        <v>-1.7952558258872278E-2</v>
      </c>
    </row>
    <row r="266" spans="1:8" ht="20" customHeight="1">
      <c r="A266" s="6">
        <v>45989</v>
      </c>
      <c r="B266" s="7">
        <v>4218.2998046875</v>
      </c>
      <c r="C266" s="7">
        <v>56.445999145507813</v>
      </c>
      <c r="D266" s="7">
        <v>3743.8798828125</v>
      </c>
      <c r="E266" s="8">
        <f t="shared" si="16"/>
        <v>507750.56</v>
      </c>
      <c r="F266" s="8">
        <f t="shared" si="17"/>
        <v>6794.32</v>
      </c>
      <c r="G266" s="9">
        <f t="shared" si="18"/>
        <v>1.5256788301327364E-2</v>
      </c>
      <c r="H266" s="9">
        <f t="shared" si="19"/>
        <v>6.9351934626861816E-2</v>
      </c>
    </row>
    <row r="267" spans="1:8" ht="20" customHeight="1">
      <c r="A267" s="10">
        <v>45992</v>
      </c>
      <c r="B267" s="11">
        <v>4239.2998046875</v>
      </c>
      <c r="C267" s="11">
        <v>58.417999267578118</v>
      </c>
      <c r="D267" s="11">
        <v>3691.856689453125</v>
      </c>
      <c r="E267" s="12">
        <f t="shared" si="16"/>
        <v>503187.71</v>
      </c>
      <c r="F267" s="12">
        <f t="shared" si="17"/>
        <v>6933.98</v>
      </c>
      <c r="G267" s="13">
        <f t="shared" si="18"/>
        <v>-8.9864007240090023E-3</v>
      </c>
      <c r="H267" s="13">
        <f t="shared" si="19"/>
        <v>2.0555405103086087E-2</v>
      </c>
    </row>
    <row r="268" spans="1:8" ht="20" customHeight="1">
      <c r="A268" s="6">
        <v>45993</v>
      </c>
      <c r="B268" s="7">
        <v>4186.60009765625</v>
      </c>
      <c r="C268" s="7">
        <v>57.983001708984382</v>
      </c>
      <c r="D268" s="7">
        <v>3808.39990234375</v>
      </c>
      <c r="E268" s="8">
        <f t="shared" si="16"/>
        <v>512619.46</v>
      </c>
      <c r="F268" s="8">
        <f t="shared" si="17"/>
        <v>7099.61</v>
      </c>
      <c r="G268" s="9">
        <f t="shared" si="18"/>
        <v>1.8743999133047189E-2</v>
      </c>
      <c r="H268" s="9">
        <f t="shared" si="19"/>
        <v>2.3886714412213492E-2</v>
      </c>
    </row>
    <row r="269" spans="1:8" ht="20" customHeight="1">
      <c r="A269" s="10">
        <v>45994</v>
      </c>
      <c r="B269" s="11">
        <v>4199.2998046875</v>
      </c>
      <c r="C269" s="11">
        <v>57.921001434326172</v>
      </c>
      <c r="D269" s="11">
        <v>3816.25</v>
      </c>
      <c r="E269" s="12">
        <f t="shared" si="16"/>
        <v>515234.29</v>
      </c>
      <c r="F269" s="12">
        <f t="shared" si="17"/>
        <v>7106.63</v>
      </c>
      <c r="G269" s="13">
        <f t="shared" si="18"/>
        <v>5.1009183303340807E-3</v>
      </c>
      <c r="H269" s="13">
        <f t="shared" si="19"/>
        <v>9.8878670800233207E-4</v>
      </c>
    </row>
    <row r="270" spans="1:8" ht="20" customHeight="1">
      <c r="A270" s="6">
        <v>45995</v>
      </c>
      <c r="B270" s="7">
        <v>4211.7998046875</v>
      </c>
      <c r="C270" s="7">
        <v>56.847000122070313</v>
      </c>
      <c r="D270" s="7">
        <v>3768.14990234375</v>
      </c>
      <c r="E270" s="8">
        <f t="shared" si="16"/>
        <v>510254.63</v>
      </c>
      <c r="F270" s="8">
        <f t="shared" si="17"/>
        <v>6886.95</v>
      </c>
      <c r="G270" s="9">
        <f t="shared" si="18"/>
        <v>-9.6648458704097009E-3</v>
      </c>
      <c r="H270" s="9">
        <f t="shared" si="19"/>
        <v>-3.091197937700433E-2</v>
      </c>
    </row>
    <row r="271" spans="1:8" ht="20" customHeight="1">
      <c r="A271" s="10">
        <v>45996</v>
      </c>
      <c r="B271" s="11">
        <v>4212.89990234375</v>
      </c>
      <c r="C271" s="11">
        <v>58.422000885009773</v>
      </c>
      <c r="D271" s="11">
        <v>3795.239990234375</v>
      </c>
      <c r="E271" s="12">
        <f t="shared" si="16"/>
        <v>514057.2</v>
      </c>
      <c r="F271" s="12">
        <f t="shared" si="17"/>
        <v>7128.64</v>
      </c>
      <c r="G271" s="13">
        <f t="shared" si="18"/>
        <v>7.4522988649804254E-3</v>
      </c>
      <c r="H271" s="13">
        <f t="shared" si="19"/>
        <v>3.5093909495495179E-2</v>
      </c>
    </row>
    <row r="272" spans="1:8" ht="20" customHeight="1">
      <c r="A272" s="6">
        <v>45999</v>
      </c>
      <c r="B272" s="7">
        <v>4187.2001953125</v>
      </c>
      <c r="C272" s="7">
        <v>57.778999328613281</v>
      </c>
      <c r="D272" s="7">
        <v>3755.67138671875</v>
      </c>
      <c r="E272" s="8">
        <f t="shared" si="16"/>
        <v>505594.54</v>
      </c>
      <c r="F272" s="8">
        <f t="shared" si="17"/>
        <v>6976.68</v>
      </c>
      <c r="G272" s="9">
        <f t="shared" si="18"/>
        <v>-1.6462487053969934E-2</v>
      </c>
      <c r="H272" s="9">
        <f t="shared" si="19"/>
        <v>-2.1316829016474394E-2</v>
      </c>
    </row>
    <row r="273" spans="1:8" ht="20" customHeight="1">
      <c r="A273" s="10">
        <v>46000</v>
      </c>
      <c r="B273" s="11">
        <v>4206.7001953125</v>
      </c>
      <c r="C273" s="11">
        <v>60.168998718261719</v>
      </c>
      <c r="D273" s="11">
        <v>3840.860107421875</v>
      </c>
      <c r="E273" s="12">
        <f t="shared" si="16"/>
        <v>519470.77</v>
      </c>
      <c r="F273" s="12">
        <f t="shared" si="17"/>
        <v>7430.06</v>
      </c>
      <c r="G273" s="13">
        <f t="shared" si="18"/>
        <v>2.7445371542184852E-2</v>
      </c>
      <c r="H273" s="13">
        <f t="shared" si="19"/>
        <v>6.4985064529260353E-2</v>
      </c>
    </row>
    <row r="274" spans="1:8" ht="20" customHeight="1">
      <c r="A274" s="6">
        <v>46001</v>
      </c>
      <c r="B274" s="7">
        <v>4196.39990234375</v>
      </c>
      <c r="C274" s="7">
        <v>60.379001617431641</v>
      </c>
      <c r="D274" s="7">
        <v>3856.6298828125</v>
      </c>
      <c r="E274" s="8">
        <f t="shared" si="16"/>
        <v>520326.44</v>
      </c>
      <c r="F274" s="8">
        <f t="shared" si="17"/>
        <v>7486.61</v>
      </c>
      <c r="G274" s="9">
        <f t="shared" si="18"/>
        <v>1.6471956641563945E-3</v>
      </c>
      <c r="H274" s="9">
        <f t="shared" si="19"/>
        <v>7.6109748777263269E-3</v>
      </c>
    </row>
    <row r="275" spans="1:8" ht="20" customHeight="1">
      <c r="A275" s="10">
        <v>46002</v>
      </c>
      <c r="B275" s="11">
        <v>4285.5</v>
      </c>
      <c r="C275" s="11">
        <v>63.929000854492188</v>
      </c>
      <c r="D275" s="11">
        <v>3840.030029296875</v>
      </c>
      <c r="E275" s="12">
        <f t="shared" si="16"/>
        <v>529087.11</v>
      </c>
      <c r="F275" s="12">
        <f t="shared" si="17"/>
        <v>7892.66</v>
      </c>
      <c r="G275" s="13">
        <f t="shared" si="18"/>
        <v>1.683687263710832E-2</v>
      </c>
      <c r="H275" s="13">
        <f t="shared" si="19"/>
        <v>5.4236830821960832E-2</v>
      </c>
    </row>
    <row r="276" spans="1:8" ht="20" customHeight="1">
      <c r="A276" s="6">
        <v>46003</v>
      </c>
      <c r="B276" s="7">
        <v>4300.10009765625</v>
      </c>
      <c r="C276" s="7">
        <v>61.36199951171875</v>
      </c>
      <c r="D276" s="7">
        <v>3801.5</v>
      </c>
      <c r="E276" s="8">
        <f t="shared" si="16"/>
        <v>525562.81000000006</v>
      </c>
      <c r="F276" s="8">
        <f t="shared" si="17"/>
        <v>7499.73</v>
      </c>
      <c r="G276" s="9">
        <f t="shared" si="18"/>
        <v>-6.6610959393811923E-3</v>
      </c>
      <c r="H276" s="9">
        <f t="shared" si="19"/>
        <v>-4.9784229904746978E-2</v>
      </c>
    </row>
    <row r="277" spans="1:8" ht="20" customHeight="1">
      <c r="A277" s="10">
        <v>46006</v>
      </c>
      <c r="B277" s="11">
        <v>4306.7001953125</v>
      </c>
      <c r="C277" s="11">
        <v>62.939998626708977</v>
      </c>
      <c r="D277" s="11">
        <v>3759.907958984375</v>
      </c>
      <c r="E277" s="12">
        <f t="shared" si="16"/>
        <v>520610.49</v>
      </c>
      <c r="F277" s="12">
        <f t="shared" si="17"/>
        <v>7608.43</v>
      </c>
      <c r="G277" s="13">
        <f t="shared" si="18"/>
        <v>-9.4228889597421563E-3</v>
      </c>
      <c r="H277" s="13">
        <f t="shared" si="19"/>
        <v>1.4493855112117468E-2</v>
      </c>
    </row>
    <row r="278" spans="1:8" ht="20" customHeight="1">
      <c r="A278" s="6">
        <v>46007</v>
      </c>
      <c r="B278" s="7">
        <v>4304.5</v>
      </c>
      <c r="C278" s="7">
        <v>62.700000762939453</v>
      </c>
      <c r="D278" s="7">
        <v>3818.070068359375</v>
      </c>
      <c r="E278" s="8">
        <f t="shared" si="16"/>
        <v>528393.75</v>
      </c>
      <c r="F278" s="8">
        <f t="shared" si="17"/>
        <v>7696.66</v>
      </c>
      <c r="G278" s="9">
        <f t="shared" si="18"/>
        <v>1.4950255804488322E-2</v>
      </c>
      <c r="H278" s="9">
        <f t="shared" si="19"/>
        <v>1.1596347735340873E-2</v>
      </c>
    </row>
    <row r="279" spans="1:8" ht="20" customHeight="1">
      <c r="A279" s="10">
        <v>46008</v>
      </c>
      <c r="B279" s="11">
        <v>4347.5</v>
      </c>
      <c r="C279" s="11">
        <v>66.23699951171875</v>
      </c>
      <c r="D279" s="11">
        <v>3839.22998046875</v>
      </c>
      <c r="E279" s="12">
        <f t="shared" si="16"/>
        <v>536629.79</v>
      </c>
      <c r="F279" s="12">
        <f t="shared" si="17"/>
        <v>8175.91</v>
      </c>
      <c r="G279" s="13">
        <f t="shared" si="18"/>
        <v>1.5586936825047679E-2</v>
      </c>
      <c r="H279" s="13">
        <f t="shared" si="19"/>
        <v>6.2267269179098465E-2</v>
      </c>
    </row>
    <row r="280" spans="1:8" ht="20" customHeight="1">
      <c r="A280" s="6">
        <v>46009</v>
      </c>
      <c r="B280" s="7">
        <v>4339.5</v>
      </c>
      <c r="C280" s="7">
        <v>64.592002868652344</v>
      </c>
      <c r="D280" s="7">
        <v>3863.75</v>
      </c>
      <c r="E280" s="8">
        <f t="shared" si="16"/>
        <v>539063.31000000006</v>
      </c>
      <c r="F280" s="8">
        <f t="shared" si="17"/>
        <v>8023.78</v>
      </c>
      <c r="G280" s="9">
        <f t="shared" si="18"/>
        <v>4.5348209237508381E-3</v>
      </c>
      <c r="H280" s="9">
        <f t="shared" si="19"/>
        <v>-1.8607103062533725E-2</v>
      </c>
    </row>
    <row r="281" spans="1:8" ht="20" customHeight="1">
      <c r="A281" s="10">
        <v>46010</v>
      </c>
      <c r="B281" s="11">
        <v>4361.39990234375</v>
      </c>
      <c r="C281" s="11">
        <v>66.845001220703125</v>
      </c>
      <c r="D281" s="11">
        <v>3861.9599609375</v>
      </c>
      <c r="E281" s="12">
        <f t="shared" si="16"/>
        <v>541532.77</v>
      </c>
      <c r="F281" s="12">
        <f t="shared" si="17"/>
        <v>8299.7999999999993</v>
      </c>
      <c r="G281" s="13">
        <f t="shared" si="18"/>
        <v>4.5810203628957099E-3</v>
      </c>
      <c r="H281" s="13">
        <f t="shared" si="19"/>
        <v>3.4400245270932099E-2</v>
      </c>
    </row>
    <row r="282" spans="1:8" ht="20" customHeight="1">
      <c r="A282" s="6">
        <v>46013</v>
      </c>
      <c r="B282" s="7">
        <v>4444.60009765625</v>
      </c>
      <c r="C282" s="7">
        <v>67.905998229980469</v>
      </c>
      <c r="D282" s="7">
        <v>3817.51416015625</v>
      </c>
      <c r="E282" s="8">
        <f t="shared" si="16"/>
        <v>545512.13</v>
      </c>
      <c r="F282" s="8">
        <f t="shared" si="17"/>
        <v>8334.51</v>
      </c>
      <c r="G282" s="9">
        <f t="shared" si="18"/>
        <v>7.3483272305016481E-3</v>
      </c>
      <c r="H282" s="9">
        <f t="shared" si="19"/>
        <v>4.1820284826141535E-3</v>
      </c>
    </row>
    <row r="283" spans="1:8" ht="20" customHeight="1">
      <c r="A283" s="10">
        <v>46014</v>
      </c>
      <c r="B283" s="11">
        <v>4482.7998046875</v>
      </c>
      <c r="C283" s="11">
        <v>70.485000610351563</v>
      </c>
      <c r="D283" s="11">
        <v>3801.2099609375</v>
      </c>
      <c r="E283" s="12">
        <f t="shared" si="16"/>
        <v>547850.76</v>
      </c>
      <c r="F283" s="12">
        <f t="shared" si="17"/>
        <v>8614.09</v>
      </c>
      <c r="G283" s="13">
        <f t="shared" si="18"/>
        <v>4.2870357438248071E-3</v>
      </c>
      <c r="H283" s="13">
        <f t="shared" si="19"/>
        <v>3.3544863465278692E-2</v>
      </c>
    </row>
    <row r="284" spans="1:8" ht="20" customHeight="1">
      <c r="A284" s="6">
        <v>46015</v>
      </c>
      <c r="B284" s="7">
        <v>4480.60009765625</v>
      </c>
      <c r="C284" s="7">
        <v>71.030998229980469</v>
      </c>
      <c r="D284" s="7">
        <v>3754.330078125</v>
      </c>
      <c r="E284" s="8">
        <f t="shared" si="16"/>
        <v>540828.66</v>
      </c>
      <c r="F284" s="8">
        <f t="shared" si="17"/>
        <v>8573.76</v>
      </c>
      <c r="G284" s="9">
        <f t="shared" si="18"/>
        <v>-1.2817541769952052E-2</v>
      </c>
      <c r="H284" s="9">
        <f t="shared" si="19"/>
        <v>-4.6818642479936855E-3</v>
      </c>
    </row>
    <row r="285" spans="1:8" ht="20" customHeight="1">
      <c r="A285" s="10">
        <v>46017</v>
      </c>
      <c r="B285" s="11">
        <v>4529.10009765625</v>
      </c>
      <c r="C285" s="11">
        <v>76.486000061035156</v>
      </c>
      <c r="D285" s="11">
        <v>3742.050048828125</v>
      </c>
      <c r="E285" s="12">
        <f t="shared" si="16"/>
        <v>544894.68999999994</v>
      </c>
      <c r="F285" s="12">
        <f t="shared" si="17"/>
        <v>9202.01</v>
      </c>
      <c r="G285" s="13">
        <f t="shared" si="18"/>
        <v>7.5181481691445704E-3</v>
      </c>
      <c r="H285" s="13">
        <f t="shared" si="19"/>
        <v>7.3275902287911018E-2</v>
      </c>
    </row>
    <row r="286" spans="1:8" ht="20" customHeight="1">
      <c r="A286" s="6">
        <v>46020</v>
      </c>
      <c r="B286" s="7">
        <v>4325.10009765625</v>
      </c>
      <c r="C286" s="7">
        <v>69.856002807617188</v>
      </c>
      <c r="D286" s="7">
        <v>3695.25</v>
      </c>
      <c r="E286" s="8">
        <f t="shared" si="16"/>
        <v>513843.72</v>
      </c>
      <c r="F286" s="8">
        <f t="shared" si="17"/>
        <v>8299.25</v>
      </c>
      <c r="G286" s="9">
        <f t="shared" si="18"/>
        <v>-5.6985268107494269E-2</v>
      </c>
      <c r="H286" s="9">
        <f t="shared" si="19"/>
        <v>-9.8104653222502503E-2</v>
      </c>
    </row>
    <row r="287" spans="1:8" ht="20" customHeight="1">
      <c r="A287" s="10">
        <v>46021</v>
      </c>
      <c r="B287" s="11">
        <v>4370.10009765625</v>
      </c>
      <c r="C287" s="11">
        <v>77.374000549316406</v>
      </c>
      <c r="D287" s="11">
        <v>3729.39990234375</v>
      </c>
      <c r="E287" s="12">
        <f t="shared" si="16"/>
        <v>523988.07</v>
      </c>
      <c r="F287" s="12">
        <f t="shared" si="17"/>
        <v>9277.3700000000008</v>
      </c>
      <c r="G287" s="13">
        <f t="shared" si="18"/>
        <v>1.9742092011944868E-2</v>
      </c>
      <c r="H287" s="13">
        <f t="shared" si="19"/>
        <v>0.11785643281019378</v>
      </c>
    </row>
    <row r="288" spans="1:8" ht="20" customHeight="1">
      <c r="A288" s="6">
        <v>46022</v>
      </c>
      <c r="B288" s="7">
        <v>4325.60009765625</v>
      </c>
      <c r="C288" s="7">
        <v>70.134002685546875</v>
      </c>
      <c r="D288" s="7">
        <v>3740.4599609375</v>
      </c>
      <c r="E288" s="8">
        <f t="shared" si="16"/>
        <v>520190.53</v>
      </c>
      <c r="F288" s="8">
        <f t="shared" si="17"/>
        <v>8434.2199999999993</v>
      </c>
      <c r="G288" s="9">
        <f t="shared" si="18"/>
        <v>-7.2473787428022534E-3</v>
      </c>
      <c r="H288" s="9">
        <f t="shared" si="19"/>
        <v>-9.0882437587376741E-2</v>
      </c>
    </row>
    <row r="289" spans="1:8" ht="20" customHeight="1">
      <c r="A289" s="10">
        <v>46024</v>
      </c>
      <c r="B289" s="11">
        <v>4314.39990234375</v>
      </c>
      <c r="C289" s="11">
        <v>70.555999755859375</v>
      </c>
      <c r="D289" s="11">
        <v>3768.2099609375</v>
      </c>
      <c r="E289" s="12">
        <f t="shared" si="16"/>
        <v>522692.84</v>
      </c>
      <c r="F289" s="12">
        <f t="shared" si="17"/>
        <v>8547.91</v>
      </c>
      <c r="G289" s="13">
        <f t="shared" si="18"/>
        <v>4.81037207655433E-3</v>
      </c>
      <c r="H289" s="13">
        <f t="shared" si="19"/>
        <v>1.3479610444119376E-2</v>
      </c>
    </row>
    <row r="290" spans="1:8" ht="20" customHeight="1">
      <c r="A290" s="6">
        <v>46027</v>
      </c>
      <c r="B290" s="7">
        <v>4436.89990234375</v>
      </c>
      <c r="C290" s="7">
        <v>76.16400146484375</v>
      </c>
      <c r="D290" s="7">
        <v>3731.327392578125</v>
      </c>
      <c r="E290" s="8">
        <f t="shared" si="16"/>
        <v>532272.53</v>
      </c>
      <c r="F290" s="8">
        <f t="shared" si="17"/>
        <v>9137.01</v>
      </c>
      <c r="G290" s="9">
        <f t="shared" si="18"/>
        <v>1.8327570739250995E-2</v>
      </c>
      <c r="H290" s="9">
        <f t="shared" si="19"/>
        <v>6.8917431278523095E-2</v>
      </c>
    </row>
    <row r="291" spans="1:8" ht="20" customHeight="1">
      <c r="A291" s="10">
        <v>46028</v>
      </c>
      <c r="B291" s="11">
        <v>4482.2001953125</v>
      </c>
      <c r="C291" s="11">
        <v>80.529998779296875</v>
      </c>
      <c r="D291" s="11">
        <v>3748.3701171875</v>
      </c>
      <c r="E291" s="12">
        <f t="shared" si="16"/>
        <v>540162.93000000005</v>
      </c>
      <c r="F291" s="12">
        <f t="shared" si="17"/>
        <v>9704.9</v>
      </c>
      <c r="G291" s="13">
        <f t="shared" si="18"/>
        <v>1.4823984998812587E-2</v>
      </c>
      <c r="H291" s="13">
        <f t="shared" si="19"/>
        <v>6.2152717355020891E-2</v>
      </c>
    </row>
    <row r="292" spans="1:8" ht="20" customHeight="1">
      <c r="A292" s="6">
        <v>46029</v>
      </c>
      <c r="B292" s="7">
        <v>4449.2998046875</v>
      </c>
      <c r="C292" s="7">
        <v>77.135002136230469</v>
      </c>
      <c r="D292" s="7">
        <v>3711.2900390625</v>
      </c>
      <c r="E292" s="8">
        <f t="shared" si="16"/>
        <v>530893.77</v>
      </c>
      <c r="F292" s="8">
        <f t="shared" si="17"/>
        <v>9203.81</v>
      </c>
      <c r="G292" s="9">
        <f t="shared" si="18"/>
        <v>-1.7159933577818885E-2</v>
      </c>
      <c r="H292" s="9">
        <f t="shared" si="19"/>
        <v>-5.1632680398561566E-2</v>
      </c>
    </row>
    <row r="293" spans="1:8" ht="20" customHeight="1">
      <c r="A293" s="10">
        <v>46030</v>
      </c>
      <c r="B293" s="11">
        <v>4449.7001953125</v>
      </c>
      <c r="C293" s="11">
        <v>74.71600341796875</v>
      </c>
      <c r="D293" s="11">
        <v>3750.75</v>
      </c>
      <c r="E293" s="12">
        <f t="shared" si="16"/>
        <v>536586.73</v>
      </c>
      <c r="F293" s="12">
        <f t="shared" si="17"/>
        <v>9009.9599999999991</v>
      </c>
      <c r="G293" s="13">
        <f t="shared" si="18"/>
        <v>1.0723350549018427E-2</v>
      </c>
      <c r="H293" s="13">
        <f t="shared" si="19"/>
        <v>-2.1061929787772712E-2</v>
      </c>
    </row>
    <row r="294" spans="1:8" ht="20" customHeight="1">
      <c r="A294" s="6">
        <v>46031</v>
      </c>
      <c r="B294" s="7">
        <v>4490.2998046875</v>
      </c>
      <c r="C294" s="7">
        <v>78.884002685546875</v>
      </c>
      <c r="D294" s="7">
        <v>3713.510009765625</v>
      </c>
      <c r="E294" s="8">
        <f t="shared" si="16"/>
        <v>536106.41</v>
      </c>
      <c r="F294" s="8">
        <f t="shared" si="17"/>
        <v>9418.1299999999992</v>
      </c>
      <c r="G294" s="9">
        <f t="shared" si="18"/>
        <v>-8.9513954249287677E-4</v>
      </c>
      <c r="H294" s="9">
        <f t="shared" si="19"/>
        <v>4.5302087911600064E-2</v>
      </c>
    </row>
    <row r="295" spans="1:8" ht="20" customHeight="1">
      <c r="A295" s="10">
        <v>46034</v>
      </c>
      <c r="B295" s="11">
        <v>4604.2998046875</v>
      </c>
      <c r="C295" s="11">
        <v>84.610000610351563</v>
      </c>
      <c r="D295" s="11">
        <v>3670.43359375</v>
      </c>
      <c r="E295" s="12">
        <f t="shared" si="16"/>
        <v>543340.43999999994</v>
      </c>
      <c r="F295" s="12">
        <f t="shared" si="17"/>
        <v>9984.59</v>
      </c>
      <c r="G295" s="13">
        <f t="shared" si="18"/>
        <v>1.3493645785731066E-2</v>
      </c>
      <c r="H295" s="13">
        <f t="shared" si="19"/>
        <v>6.0145697712815707E-2</v>
      </c>
    </row>
    <row r="296" spans="1:8" ht="20" customHeight="1">
      <c r="A296" s="6">
        <v>46035</v>
      </c>
      <c r="B296" s="7">
        <v>4589.2001953125</v>
      </c>
      <c r="C296" s="7">
        <v>85.876998901367188</v>
      </c>
      <c r="D296" s="7">
        <v>3713.639892578125</v>
      </c>
      <c r="E296" s="8">
        <f t="shared" si="16"/>
        <v>547933.5</v>
      </c>
      <c r="F296" s="8">
        <f t="shared" si="17"/>
        <v>10253.4</v>
      </c>
      <c r="G296" s="9">
        <f t="shared" si="18"/>
        <v>8.4533740945180822E-3</v>
      </c>
      <c r="H296" s="9">
        <f t="shared" si="19"/>
        <v>2.6922487553319614E-2</v>
      </c>
    </row>
    <row r="297" spans="1:8" ht="20" customHeight="1">
      <c r="A297" s="10">
        <v>46036</v>
      </c>
      <c r="B297" s="11">
        <v>4626.2998046875</v>
      </c>
      <c r="C297" s="11">
        <v>90.869003295898438</v>
      </c>
      <c r="D297" s="11">
        <v>3684.860107421875</v>
      </c>
      <c r="E297" s="12">
        <f t="shared" si="16"/>
        <v>548082.38</v>
      </c>
      <c r="F297" s="12">
        <f t="shared" si="17"/>
        <v>10765.34</v>
      </c>
      <c r="G297" s="13">
        <f t="shared" si="18"/>
        <v>2.7171180444343092E-4</v>
      </c>
      <c r="H297" s="13">
        <f t="shared" si="19"/>
        <v>4.9928804104004576E-2</v>
      </c>
    </row>
    <row r="298" spans="1:8" ht="20" customHeight="1">
      <c r="A298" s="6">
        <v>46037</v>
      </c>
      <c r="B298" s="7">
        <v>4616.2998046875</v>
      </c>
      <c r="C298" s="7">
        <v>91.875999450683594</v>
      </c>
      <c r="D298" s="7">
        <v>3671.7900390625</v>
      </c>
      <c r="E298" s="8">
        <f t="shared" si="16"/>
        <v>544957.84</v>
      </c>
      <c r="F298" s="8">
        <f t="shared" si="17"/>
        <v>10846.03</v>
      </c>
      <c r="G298" s="9">
        <f t="shared" si="18"/>
        <v>-5.700858327173439E-3</v>
      </c>
      <c r="H298" s="9">
        <f t="shared" si="19"/>
        <v>7.4953508203178445E-3</v>
      </c>
    </row>
    <row r="299" spans="1:8" ht="20" customHeight="1">
      <c r="A299" s="10">
        <v>46038</v>
      </c>
      <c r="B299" s="11">
        <v>4588.39990234375</v>
      </c>
      <c r="C299" s="11">
        <v>88.09100341796875</v>
      </c>
      <c r="D299" s="11">
        <v>3684.110107421875</v>
      </c>
      <c r="E299" s="12">
        <f t="shared" si="16"/>
        <v>543481.69999999995</v>
      </c>
      <c r="F299" s="12">
        <f t="shared" si="17"/>
        <v>10434.11</v>
      </c>
      <c r="G299" s="13">
        <f t="shared" si="18"/>
        <v>-2.7087233023384231E-3</v>
      </c>
      <c r="H299" s="13">
        <f t="shared" si="19"/>
        <v>-3.7978873375788195E-2</v>
      </c>
    </row>
    <row r="300" spans="1:8" ht="20" customHeight="1">
      <c r="A300" s="6">
        <v>46041</v>
      </c>
      <c r="B300" s="7">
        <v>4588.39990234375</v>
      </c>
      <c r="C300" s="7">
        <v>88.09100341796875</v>
      </c>
      <c r="D300" s="7">
        <v>3647.150146484375</v>
      </c>
      <c r="E300" s="8">
        <f t="shared" si="16"/>
        <v>538029.35</v>
      </c>
      <c r="F300" s="8">
        <f t="shared" si="17"/>
        <v>10329.43</v>
      </c>
      <c r="G300" s="9">
        <f t="shared" si="18"/>
        <v>-1.0032260515855413E-2</v>
      </c>
      <c r="H300" s="9">
        <f t="shared" si="19"/>
        <v>-1.0032480010274023E-2</v>
      </c>
    </row>
    <row r="301" spans="1:8" ht="20" customHeight="1">
      <c r="A301" s="10">
        <v>46042</v>
      </c>
      <c r="B301" s="11">
        <v>4759.60009765625</v>
      </c>
      <c r="C301" s="11">
        <v>94.206001281738281</v>
      </c>
      <c r="D301" s="11">
        <v>3675.5</v>
      </c>
      <c r="E301" s="12">
        <f t="shared" si="16"/>
        <v>562442.27</v>
      </c>
      <c r="F301" s="12">
        <f t="shared" si="17"/>
        <v>11132.33</v>
      </c>
      <c r="G301" s="13">
        <f t="shared" si="18"/>
        <v>4.5374699354226757E-2</v>
      </c>
      <c r="H301" s="13">
        <f t="shared" si="19"/>
        <v>7.7729361639509595E-2</v>
      </c>
    </row>
    <row r="302" spans="1:8" ht="20" customHeight="1">
      <c r="A302" s="6">
        <v>46043</v>
      </c>
      <c r="B302" s="7">
        <v>4831.7998046875</v>
      </c>
      <c r="C302" s="7">
        <v>92.209999084472656</v>
      </c>
      <c r="D302" s="7">
        <v>3674.699951171875</v>
      </c>
      <c r="E302" s="8">
        <f t="shared" si="16"/>
        <v>570849.82999999996</v>
      </c>
      <c r="F302" s="8">
        <f t="shared" si="17"/>
        <v>10894.09</v>
      </c>
      <c r="G302" s="9">
        <f t="shared" si="18"/>
        <v>1.4948307494740642E-2</v>
      </c>
      <c r="H302" s="9">
        <f t="shared" si="19"/>
        <v>-2.1400731023963518E-2</v>
      </c>
    </row>
    <row r="303" spans="1:8" ht="20" customHeight="1">
      <c r="A303" s="10">
        <v>46044</v>
      </c>
      <c r="B303" s="11">
        <v>4908.7998046875</v>
      </c>
      <c r="C303" s="11">
        <v>95.975997924804688</v>
      </c>
      <c r="D303" s="11">
        <v>3673.169921875</v>
      </c>
      <c r="E303" s="12">
        <f t="shared" si="16"/>
        <v>579705.48</v>
      </c>
      <c r="F303" s="12">
        <f t="shared" si="17"/>
        <v>11334.3</v>
      </c>
      <c r="G303" s="13">
        <f t="shared" si="18"/>
        <v>1.5513099128014147E-2</v>
      </c>
      <c r="H303" s="13">
        <f t="shared" si="19"/>
        <v>4.0408147904046975E-2</v>
      </c>
    </row>
    <row r="304" spans="1:8" ht="20" customHeight="1">
      <c r="A304" s="6">
        <v>46045</v>
      </c>
      <c r="B304" s="7">
        <v>4976.2001953125</v>
      </c>
      <c r="C304" s="7">
        <v>100.9250030517578</v>
      </c>
      <c r="D304" s="7">
        <v>3610.72998046875</v>
      </c>
      <c r="E304" s="8">
        <f t="shared" si="16"/>
        <v>577675.46</v>
      </c>
      <c r="F304" s="8">
        <f t="shared" si="17"/>
        <v>11716.15</v>
      </c>
      <c r="G304" s="9">
        <f t="shared" si="18"/>
        <v>-3.501812679086661E-3</v>
      </c>
      <c r="H304" s="9">
        <f t="shared" si="19"/>
        <v>3.3689773519317505E-2</v>
      </c>
    </row>
    <row r="305" spans="1:8" ht="20" customHeight="1">
      <c r="A305" s="10">
        <v>46048</v>
      </c>
      <c r="B305" s="11">
        <v>5079.7001953125</v>
      </c>
      <c r="C305" s="11">
        <v>115.0800018310547</v>
      </c>
      <c r="D305" s="11">
        <v>3533.49951171875</v>
      </c>
      <c r="E305" s="12">
        <f t="shared" si="16"/>
        <v>577077.55000000005</v>
      </c>
      <c r="F305" s="12">
        <f t="shared" si="17"/>
        <v>13073.62</v>
      </c>
      <c r="G305" s="13">
        <f t="shared" si="18"/>
        <v>-1.0350275222006423E-3</v>
      </c>
      <c r="H305" s="13">
        <f t="shared" si="19"/>
        <v>0.11586314617003036</v>
      </c>
    </row>
    <row r="306" spans="1:8" ht="20" customHeight="1">
      <c r="A306" s="6">
        <v>46049</v>
      </c>
      <c r="B306" s="7">
        <v>5079.89990234375</v>
      </c>
      <c r="C306" s="7">
        <v>105.5230026245117</v>
      </c>
      <c r="D306" s="7">
        <v>3681.18994140625</v>
      </c>
      <c r="E306" s="8">
        <f t="shared" si="16"/>
        <v>601221.42000000004</v>
      </c>
      <c r="F306" s="8">
        <f t="shared" si="17"/>
        <v>12488.96</v>
      </c>
      <c r="G306" s="9">
        <f t="shared" si="18"/>
        <v>4.183817235655761E-2</v>
      </c>
      <c r="H306" s="9">
        <f t="shared" si="19"/>
        <v>-4.472059001255977E-2</v>
      </c>
    </row>
    <row r="307" spans="1:8" ht="20" customHeight="1">
      <c r="A307" s="10">
        <v>46050</v>
      </c>
      <c r="B307" s="11">
        <v>5301.60009765625</v>
      </c>
      <c r="C307" s="11">
        <v>113.1110000610352</v>
      </c>
      <c r="D307" s="11">
        <v>3652.9599609375</v>
      </c>
      <c r="E307" s="12">
        <f t="shared" si="16"/>
        <v>622648.49</v>
      </c>
      <c r="F307" s="12">
        <f t="shared" si="17"/>
        <v>13284.37</v>
      </c>
      <c r="G307" s="13">
        <f t="shared" si="18"/>
        <v>3.563923254763602E-2</v>
      </c>
      <c r="H307" s="13">
        <f t="shared" si="19"/>
        <v>6.3689050169109501E-2</v>
      </c>
    </row>
    <row r="308" spans="1:8" ht="20" customHeight="1">
      <c r="A308" s="6">
        <v>46051</v>
      </c>
      <c r="B308" s="7">
        <v>5318.39990234375</v>
      </c>
      <c r="C308" s="7">
        <v>114.03700256347661</v>
      </c>
      <c r="D308" s="7">
        <v>3668.610107421875</v>
      </c>
      <c r="E308" s="8">
        <f t="shared" si="16"/>
        <v>627297.57999999996</v>
      </c>
      <c r="F308" s="8">
        <f t="shared" si="17"/>
        <v>13450.5</v>
      </c>
      <c r="G308" s="9">
        <f t="shared" si="18"/>
        <v>7.466636592983575E-3</v>
      </c>
      <c r="H308" s="9">
        <f t="shared" si="19"/>
        <v>1.2505673961203971E-2</v>
      </c>
    </row>
    <row r="309" spans="1:8" ht="20" customHeight="1">
      <c r="A309" s="10">
        <v>46052</v>
      </c>
      <c r="B309" s="11">
        <v>4713.89990234375</v>
      </c>
      <c r="C309" s="11">
        <v>78.290000915527344</v>
      </c>
      <c r="D309" s="11">
        <v>3652.280029296875</v>
      </c>
      <c r="E309" s="12">
        <f t="shared" si="16"/>
        <v>553522.76</v>
      </c>
      <c r="F309" s="12">
        <f t="shared" si="17"/>
        <v>9193.09</v>
      </c>
      <c r="G309" s="13">
        <f t="shared" si="18"/>
        <v>-0.11760737224588043</v>
      </c>
      <c r="H309" s="13">
        <f t="shared" si="19"/>
        <v>-0.31652429277722016</v>
      </c>
    </row>
    <row r="310" spans="1:8" ht="20" customHeight="1">
      <c r="A310" s="6">
        <v>46055</v>
      </c>
      <c r="B310" s="7">
        <v>4622.5</v>
      </c>
      <c r="C310" s="7">
        <v>76.777999877929688</v>
      </c>
      <c r="D310" s="7">
        <v>3627.567626953125</v>
      </c>
      <c r="E310" s="8">
        <f t="shared" si="16"/>
        <v>539117.59</v>
      </c>
      <c r="F310" s="8">
        <f t="shared" si="17"/>
        <v>8954.5400000000009</v>
      </c>
      <c r="G310" s="9">
        <f t="shared" si="18"/>
        <v>-2.6024530590214649E-2</v>
      </c>
      <c r="H310" s="9">
        <f t="shared" si="19"/>
        <v>-2.5948837659589895E-2</v>
      </c>
    </row>
    <row r="311" spans="1:8" ht="20" customHeight="1">
      <c r="A311" s="10">
        <v>46056</v>
      </c>
      <c r="B311" s="11">
        <v>4903.7001953125</v>
      </c>
      <c r="C311" s="11">
        <v>83.041999816894531</v>
      </c>
      <c r="D311" s="11">
        <v>3619.820068359375</v>
      </c>
      <c r="E311" s="12">
        <f t="shared" si="16"/>
        <v>570692.22</v>
      </c>
      <c r="F311" s="12">
        <f t="shared" si="17"/>
        <v>9664.42</v>
      </c>
      <c r="G311" s="13">
        <f t="shared" si="18"/>
        <v>5.8567241332266692E-2</v>
      </c>
      <c r="H311" s="13">
        <f t="shared" si="19"/>
        <v>7.9275987376235868E-2</v>
      </c>
    </row>
    <row r="312" spans="1:8" ht="20" customHeight="1">
      <c r="A312" s="6">
        <v>46057</v>
      </c>
      <c r="B312" s="7">
        <v>4920.39990234375</v>
      </c>
      <c r="C312" s="7">
        <v>84.165000915527344</v>
      </c>
      <c r="D312" s="7">
        <v>3644.7099609375</v>
      </c>
      <c r="E312" s="8">
        <f t="shared" si="16"/>
        <v>576573.18000000005</v>
      </c>
      <c r="F312" s="8">
        <f t="shared" si="17"/>
        <v>9862.4699999999993</v>
      </c>
      <c r="G312" s="9">
        <f t="shared" si="18"/>
        <v>1.0304959124902875E-2</v>
      </c>
      <c r="H312" s="9">
        <f t="shared" si="19"/>
        <v>2.0492693819184109E-2</v>
      </c>
    </row>
    <row r="313" spans="1:8" ht="20" customHeight="1">
      <c r="A313" s="10">
        <v>46058</v>
      </c>
      <c r="B313" s="11">
        <v>4861.39990234375</v>
      </c>
      <c r="C313" s="11">
        <v>76.528999328613281</v>
      </c>
      <c r="D313" s="11">
        <v>3628.219970703125</v>
      </c>
      <c r="E313" s="12">
        <f t="shared" si="16"/>
        <v>567082.21</v>
      </c>
      <c r="F313" s="12">
        <f t="shared" si="17"/>
        <v>8927.11</v>
      </c>
      <c r="G313" s="13">
        <f t="shared" si="18"/>
        <v>-1.6460998064460938E-2</v>
      </c>
      <c r="H313" s="13">
        <f t="shared" si="19"/>
        <v>-9.4840339184808553E-2</v>
      </c>
    </row>
    <row r="314" spans="1:8" ht="20" customHeight="1">
      <c r="A314" s="6">
        <v>46059</v>
      </c>
      <c r="B314" s="7">
        <v>4951.2001953125</v>
      </c>
      <c r="C314" s="7">
        <v>76.735000610351563</v>
      </c>
      <c r="D314" s="7">
        <v>3698.64990234375</v>
      </c>
      <c r="E314" s="8">
        <f t="shared" si="16"/>
        <v>588768.78</v>
      </c>
      <c r="F314" s="8">
        <f t="shared" si="17"/>
        <v>9124.89</v>
      </c>
      <c r="G314" s="9">
        <f t="shared" si="18"/>
        <v>3.8242374064247346E-2</v>
      </c>
      <c r="H314" s="9">
        <f t="shared" si="19"/>
        <v>2.2154986328162062E-2</v>
      </c>
    </row>
    <row r="315" spans="1:8" ht="20" customHeight="1">
      <c r="A315" s="10">
        <v>46062</v>
      </c>
      <c r="B315" s="11">
        <v>5050.89990234375</v>
      </c>
      <c r="C315" s="11">
        <v>82.06500244140625</v>
      </c>
      <c r="D315" s="11">
        <v>3657.237060546875</v>
      </c>
      <c r="E315" s="12">
        <f t="shared" si="16"/>
        <v>593899.47</v>
      </c>
      <c r="F315" s="12">
        <f t="shared" si="17"/>
        <v>9649.44</v>
      </c>
      <c r="G315" s="13">
        <f t="shared" si="18"/>
        <v>8.7142698021453243E-3</v>
      </c>
      <c r="H315" s="13">
        <f t="shared" si="19"/>
        <v>5.748562448424048E-2</v>
      </c>
    </row>
    <row r="316" spans="1:8" ht="20" customHeight="1">
      <c r="A316" s="6">
        <v>46063</v>
      </c>
      <c r="B316" s="7">
        <v>5003.7998046875</v>
      </c>
      <c r="C316" s="7">
        <v>80.218002319335938</v>
      </c>
      <c r="D316" s="7">
        <v>3668.260009765625</v>
      </c>
      <c r="E316" s="8">
        <f t="shared" si="16"/>
        <v>590134.63</v>
      </c>
      <c r="F316" s="8">
        <f t="shared" si="17"/>
        <v>9460.69</v>
      </c>
      <c r="G316" s="9">
        <f t="shared" si="18"/>
        <v>-6.3391873375471565E-3</v>
      </c>
      <c r="H316" s="9">
        <f t="shared" si="19"/>
        <v>-1.9560720622129366E-2</v>
      </c>
    </row>
    <row r="317" spans="1:8" ht="20" customHeight="1">
      <c r="A317" s="10">
        <v>46064</v>
      </c>
      <c r="B317" s="11">
        <v>5071.60009765625</v>
      </c>
      <c r="C317" s="11">
        <v>83.753997802734375</v>
      </c>
      <c r="D317" s="11">
        <v>3663.719970703125</v>
      </c>
      <c r="E317" s="12">
        <f t="shared" si="16"/>
        <v>597390.53</v>
      </c>
      <c r="F317" s="12">
        <f t="shared" si="17"/>
        <v>9865.49</v>
      </c>
      <c r="G317" s="13">
        <f t="shared" si="18"/>
        <v>1.2295329965638558E-2</v>
      </c>
      <c r="H317" s="13">
        <f t="shared" si="19"/>
        <v>4.2787576804651589E-2</v>
      </c>
    </row>
    <row r="318" spans="1:8" ht="20" customHeight="1">
      <c r="A318" s="6">
        <v>46065</v>
      </c>
      <c r="B318" s="7">
        <v>4923.7001953125</v>
      </c>
      <c r="C318" s="7">
        <v>75.545997619628906</v>
      </c>
      <c r="D318" s="7">
        <v>3669.530029296875</v>
      </c>
      <c r="E318" s="8">
        <f t="shared" si="16"/>
        <v>580888.93999999994</v>
      </c>
      <c r="F318" s="8">
        <f t="shared" si="17"/>
        <v>8912.7800000000007</v>
      </c>
      <c r="G318" s="9">
        <f t="shared" si="18"/>
        <v>-2.7622784713376831E-2</v>
      </c>
      <c r="H318" s="9">
        <f t="shared" si="19"/>
        <v>-9.6569962566481662E-2</v>
      </c>
    </row>
    <row r="319" spans="1:8" ht="20" customHeight="1">
      <c r="A319" s="10">
        <v>46066</v>
      </c>
      <c r="B319" s="11">
        <v>5022</v>
      </c>
      <c r="C319" s="11">
        <v>77.850997924804688</v>
      </c>
      <c r="D319" s="11">
        <v>3668</v>
      </c>
      <c r="E319" s="12">
        <f t="shared" si="16"/>
        <v>592239.13</v>
      </c>
      <c r="F319" s="12">
        <f t="shared" si="17"/>
        <v>9180.89</v>
      </c>
      <c r="G319" s="13">
        <f t="shared" si="18"/>
        <v>1.9539346023699576E-2</v>
      </c>
      <c r="H319" s="13">
        <f t="shared" si="19"/>
        <v>3.0081523385520427E-2</v>
      </c>
    </row>
    <row r="320" spans="1:8" ht="20" customHeight="1">
      <c r="A320" s="6">
        <v>46069</v>
      </c>
      <c r="B320" s="7">
        <v>5022</v>
      </c>
      <c r="C320" s="7">
        <v>77.850997924804688</v>
      </c>
      <c r="D320" s="7">
        <v>3618.32958984375</v>
      </c>
      <c r="E320" s="8">
        <f t="shared" si="16"/>
        <v>584219.29</v>
      </c>
      <c r="F320" s="8">
        <f t="shared" si="17"/>
        <v>9056.56</v>
      </c>
      <c r="G320" s="9">
        <f t="shared" si="18"/>
        <v>-1.3541557107177244E-2</v>
      </c>
      <c r="H320" s="9">
        <f t="shared" si="19"/>
        <v>-1.3542260064111425E-2</v>
      </c>
    </row>
    <row r="321" spans="1:8" ht="20" customHeight="1">
      <c r="A321" s="10">
        <v>46070</v>
      </c>
      <c r="B321" s="11">
        <v>4882.89990234375</v>
      </c>
      <c r="C321" s="11">
        <v>73.446998596191406</v>
      </c>
      <c r="D321" s="11">
        <v>3656.070068359375</v>
      </c>
      <c r="E321" s="12">
        <f t="shared" si="16"/>
        <v>573962.34</v>
      </c>
      <c r="F321" s="12">
        <f t="shared" si="17"/>
        <v>8633.36</v>
      </c>
      <c r="G321" s="13">
        <f t="shared" si="18"/>
        <v>-1.7556678075453601E-2</v>
      </c>
      <c r="H321" s="13">
        <f t="shared" si="19"/>
        <v>-4.6728559188035958E-2</v>
      </c>
    </row>
    <row r="322" spans="1:8" ht="20" customHeight="1">
      <c r="A322" s="6">
        <v>46071</v>
      </c>
      <c r="B322" s="7">
        <v>4986.5</v>
      </c>
      <c r="C322" s="7">
        <v>77.509002685546875</v>
      </c>
      <c r="D322" s="7">
        <v>3663.75</v>
      </c>
      <c r="E322" s="8">
        <f t="shared" ref="E322:E385" si="20">ROUND((B322/31.1034768)*D322, 2)</f>
        <v>587371.29</v>
      </c>
      <c r="F322" s="8">
        <f t="shared" ref="F322:F385" si="21">ROUND((C322/31.1034768)*D322, 2)</f>
        <v>9129.9599999999991</v>
      </c>
      <c r="G322" s="9">
        <f t="shared" si="18"/>
        <v>2.336207284958813E-2</v>
      </c>
      <c r="H322" s="9">
        <f t="shared" si="19"/>
        <v>5.7521057850014191E-2</v>
      </c>
    </row>
    <row r="323" spans="1:8" ht="20" customHeight="1">
      <c r="A323" s="10">
        <v>46072</v>
      </c>
      <c r="B323" s="11">
        <v>4975.89990234375</v>
      </c>
      <c r="C323" s="11">
        <v>77.56500244140625</v>
      </c>
      <c r="D323" s="11">
        <v>3678.280029296875</v>
      </c>
      <c r="E323" s="12">
        <f t="shared" si="20"/>
        <v>588447.18000000005</v>
      </c>
      <c r="F323" s="12">
        <f t="shared" si="21"/>
        <v>9172.7900000000009</v>
      </c>
      <c r="G323" s="13">
        <f t="shared" ref="G323:G386" si="22">IFERROR((E323-E322)/E322, 0)</f>
        <v>1.8317034188034861E-3</v>
      </c>
      <c r="H323" s="13">
        <f t="shared" ref="H323:H386" si="23">IFERROR((F323-F322)/F322, 0)</f>
        <v>4.6911487016374391E-3</v>
      </c>
    </row>
    <row r="324" spans="1:8" ht="20" customHeight="1">
      <c r="A324" s="6">
        <v>46073</v>
      </c>
      <c r="B324" s="7">
        <v>5059.2998046875</v>
      </c>
      <c r="C324" s="7">
        <v>82.282997131347656</v>
      </c>
      <c r="D324" s="7">
        <v>3698.7900390625</v>
      </c>
      <c r="E324" s="8">
        <f t="shared" si="20"/>
        <v>601646.17000000004</v>
      </c>
      <c r="F324" s="8">
        <f t="shared" si="21"/>
        <v>9785</v>
      </c>
      <c r="G324" s="9">
        <f t="shared" si="22"/>
        <v>2.2430203506115857E-2</v>
      </c>
      <c r="H324" s="9">
        <f t="shared" si="23"/>
        <v>6.6741961824046889E-2</v>
      </c>
    </row>
    <row r="325" spans="1:8" ht="20" customHeight="1">
      <c r="A325" s="10">
        <v>46076</v>
      </c>
      <c r="B325" s="11">
        <v>5204.7001953125</v>
      </c>
      <c r="C325" s="11">
        <v>86.523002624511719</v>
      </c>
      <c r="D325" s="11">
        <v>3647.34814453125</v>
      </c>
      <c r="E325" s="12">
        <f t="shared" si="20"/>
        <v>610328.99</v>
      </c>
      <c r="F325" s="12">
        <f t="shared" si="21"/>
        <v>10146.120000000001</v>
      </c>
      <c r="G325" s="13">
        <f t="shared" si="22"/>
        <v>1.4431771418074427E-2</v>
      </c>
      <c r="H325" s="13">
        <f t="shared" si="23"/>
        <v>3.690546755237617E-2</v>
      </c>
    </row>
    <row r="326" spans="1:8" ht="20" customHeight="1">
      <c r="A326" s="6">
        <v>46077</v>
      </c>
      <c r="B326" s="7">
        <v>5155.7998046875</v>
      </c>
      <c r="C326" s="7">
        <v>87.457000732421875</v>
      </c>
      <c r="D326" s="7">
        <v>3691.93994140625</v>
      </c>
      <c r="E326" s="8">
        <f t="shared" si="20"/>
        <v>611986.35</v>
      </c>
      <c r="F326" s="8">
        <f t="shared" si="21"/>
        <v>10381.030000000001</v>
      </c>
      <c r="G326" s="9">
        <f t="shared" si="22"/>
        <v>2.7155190514545052E-3</v>
      </c>
      <c r="H326" s="9">
        <f t="shared" si="23"/>
        <v>2.3152692852045888E-2</v>
      </c>
    </row>
    <row r="327" spans="1:8" ht="20" customHeight="1">
      <c r="A327" s="10">
        <v>46078</v>
      </c>
      <c r="B327" s="11">
        <v>5206.39990234375</v>
      </c>
      <c r="C327" s="11">
        <v>90.939002990722656</v>
      </c>
      <c r="D327" s="11">
        <v>3710.110107421875</v>
      </c>
      <c r="E327" s="12">
        <f t="shared" si="20"/>
        <v>621034.01</v>
      </c>
      <c r="F327" s="12">
        <f t="shared" si="21"/>
        <v>10847.46</v>
      </c>
      <c r="G327" s="13">
        <f t="shared" si="22"/>
        <v>1.4784087913071972E-2</v>
      </c>
      <c r="H327" s="13">
        <f t="shared" si="23"/>
        <v>4.4930994323299174E-2</v>
      </c>
    </row>
    <row r="328" spans="1:8" ht="20" customHeight="1">
      <c r="A328" s="6">
        <v>46079</v>
      </c>
      <c r="B328" s="7">
        <v>5176.5</v>
      </c>
      <c r="C328" s="7">
        <v>86.998001098632813</v>
      </c>
      <c r="D328" s="7">
        <v>3697.68994140625</v>
      </c>
      <c r="E328" s="8">
        <f t="shared" si="20"/>
        <v>615400.4</v>
      </c>
      <c r="F328" s="8">
        <f t="shared" si="21"/>
        <v>10342.629999999999</v>
      </c>
      <c r="G328" s="9">
        <f t="shared" si="22"/>
        <v>-9.0713389432568858E-3</v>
      </c>
      <c r="H328" s="9">
        <f t="shared" si="23"/>
        <v>-4.6539005444592559E-2</v>
      </c>
    </row>
    <row r="329" spans="1:8" ht="20" customHeight="1">
      <c r="A329" s="10">
        <v>46080</v>
      </c>
      <c r="B329" s="11">
        <v>5230.5</v>
      </c>
      <c r="C329" s="11">
        <v>92.681999206542969</v>
      </c>
      <c r="D329" s="11">
        <v>3764.2900390625</v>
      </c>
      <c r="E329" s="12">
        <f t="shared" si="20"/>
        <v>633019.88</v>
      </c>
      <c r="F329" s="12">
        <f t="shared" si="21"/>
        <v>11216.81</v>
      </c>
      <c r="G329" s="13">
        <f t="shared" si="22"/>
        <v>2.8630920616886147E-2</v>
      </c>
      <c r="H329" s="13">
        <f t="shared" si="23"/>
        <v>8.4522021961532065E-2</v>
      </c>
    </row>
    <row r="330" spans="1:8" ht="20" customHeight="1">
      <c r="A330" s="6">
        <v>46083</v>
      </c>
      <c r="B330" s="7">
        <v>5294.39990234375</v>
      </c>
      <c r="C330" s="7">
        <v>88.28399658203125</v>
      </c>
      <c r="D330" s="7">
        <v>3716.570068359375</v>
      </c>
      <c r="E330" s="8">
        <f t="shared" si="20"/>
        <v>632630.5</v>
      </c>
      <c r="F330" s="8">
        <f t="shared" si="21"/>
        <v>10549.1</v>
      </c>
      <c r="G330" s="9">
        <f t="shared" si="22"/>
        <v>-6.1511496289817097E-4</v>
      </c>
      <c r="H330" s="9">
        <f t="shared" si="23"/>
        <v>-5.952761970649402E-2</v>
      </c>
    </row>
    <row r="331" spans="1:8" ht="20" customHeight="1">
      <c r="A331" s="10">
        <v>46084</v>
      </c>
      <c r="B331" s="11">
        <v>5107.39990234375</v>
      </c>
      <c r="C331" s="11">
        <v>82.922996520996094</v>
      </c>
      <c r="D331" s="11">
        <v>3770.800048828125</v>
      </c>
      <c r="E331" s="12">
        <f t="shared" si="20"/>
        <v>619190.71</v>
      </c>
      <c r="F331" s="12">
        <f t="shared" si="21"/>
        <v>10053.09</v>
      </c>
      <c r="G331" s="13">
        <f t="shared" si="22"/>
        <v>-2.124429663128799E-2</v>
      </c>
      <c r="H331" s="13">
        <f t="shared" si="23"/>
        <v>-4.701917699140213E-2</v>
      </c>
    </row>
    <row r="332" spans="1:8" ht="20" customHeight="1">
      <c r="A332" s="6">
        <v>46085</v>
      </c>
      <c r="B332" s="7">
        <v>5120.2001953125</v>
      </c>
      <c r="C332" s="7">
        <v>82.633003234863281</v>
      </c>
      <c r="D332" s="7">
        <v>3801.260009765625</v>
      </c>
      <c r="E332" s="8">
        <f t="shared" si="20"/>
        <v>625756.80000000005</v>
      </c>
      <c r="F332" s="8">
        <f t="shared" si="21"/>
        <v>10098.86</v>
      </c>
      <c r="G332" s="9">
        <f t="shared" si="22"/>
        <v>1.0604309615691884E-2</v>
      </c>
      <c r="H332" s="9">
        <f t="shared" si="23"/>
        <v>4.5528290306761834E-3</v>
      </c>
    </row>
    <row r="333" spans="1:8" ht="20" customHeight="1">
      <c r="A333" s="10">
        <v>46086</v>
      </c>
      <c r="B333" s="11">
        <v>5065.2998046875</v>
      </c>
      <c r="C333" s="11">
        <v>81.686996459960938</v>
      </c>
      <c r="D333" s="11">
        <v>3759.110107421875</v>
      </c>
      <c r="E333" s="12">
        <f t="shared" si="20"/>
        <v>612183</v>
      </c>
      <c r="F333" s="12">
        <f t="shared" si="21"/>
        <v>9872.5400000000009</v>
      </c>
      <c r="G333" s="13">
        <f t="shared" si="22"/>
        <v>-2.1691813816485966E-2</v>
      </c>
      <c r="H333" s="13">
        <f t="shared" si="23"/>
        <v>-2.2410450288448368E-2</v>
      </c>
    </row>
    <row r="334" spans="1:8" ht="20" customHeight="1">
      <c r="A334" s="6">
        <v>46087</v>
      </c>
      <c r="B334" s="7">
        <v>5146.10009765625</v>
      </c>
      <c r="C334" s="7">
        <v>83.816001892089844</v>
      </c>
      <c r="D334" s="7">
        <v>3788.47998046875</v>
      </c>
      <c r="E334" s="8">
        <f t="shared" si="20"/>
        <v>626807.65</v>
      </c>
      <c r="F334" s="8">
        <f t="shared" si="21"/>
        <v>10209</v>
      </c>
      <c r="G334" s="9">
        <f t="shared" si="22"/>
        <v>2.388934354596587E-2</v>
      </c>
      <c r="H334" s="9">
        <f t="shared" si="23"/>
        <v>3.4080388633522793E-2</v>
      </c>
    </row>
    <row r="335" spans="1:8" ht="20" customHeight="1">
      <c r="A335" s="10">
        <v>46090</v>
      </c>
      <c r="B335" s="11">
        <v>5091.5</v>
      </c>
      <c r="C335" s="11">
        <v>84.031997680664063</v>
      </c>
      <c r="D335" s="11">
        <v>3711.901611328125</v>
      </c>
      <c r="E335" s="12">
        <f t="shared" si="20"/>
        <v>607621.68999999994</v>
      </c>
      <c r="F335" s="12">
        <f t="shared" si="21"/>
        <v>10028.41</v>
      </c>
      <c r="G335" s="13">
        <f t="shared" si="22"/>
        <v>-3.0609007404424751E-2</v>
      </c>
      <c r="H335" s="13">
        <f t="shared" si="23"/>
        <v>-1.7689293760407499E-2</v>
      </c>
    </row>
    <row r="336" spans="1:8" ht="20" customHeight="1">
      <c r="A336" s="6">
        <v>46091</v>
      </c>
      <c r="B336" s="7">
        <v>5229.7001953125</v>
      </c>
      <c r="C336" s="7">
        <v>89.083000183105469</v>
      </c>
      <c r="D336" s="7">
        <v>3761.830078125</v>
      </c>
      <c r="E336" s="8">
        <f t="shared" si="20"/>
        <v>632509.47</v>
      </c>
      <c r="F336" s="8">
        <f t="shared" si="21"/>
        <v>10774.2</v>
      </c>
      <c r="G336" s="9">
        <f t="shared" si="22"/>
        <v>4.0959334417439951E-2</v>
      </c>
      <c r="H336" s="9">
        <f t="shared" si="23"/>
        <v>7.4367721303776058E-2</v>
      </c>
    </row>
    <row r="337" spans="1:8" ht="20" customHeight="1">
      <c r="A337" s="10">
        <v>46092</v>
      </c>
      <c r="B337" s="11">
        <v>5167.39990234375</v>
      </c>
      <c r="C337" s="11">
        <v>85.06500244140625</v>
      </c>
      <c r="D337" s="11">
        <v>3709.070068359375</v>
      </c>
      <c r="E337" s="12">
        <f t="shared" si="20"/>
        <v>616209.18999999994</v>
      </c>
      <c r="F337" s="12">
        <f t="shared" si="21"/>
        <v>10143.950000000001</v>
      </c>
      <c r="G337" s="13">
        <f t="shared" si="22"/>
        <v>-2.5770807826798275E-2</v>
      </c>
      <c r="H337" s="13">
        <f t="shared" si="23"/>
        <v>-5.8496222457351817E-2</v>
      </c>
    </row>
    <row r="338" spans="1:8" ht="20" customHeight="1">
      <c r="A338" s="6">
        <v>46093</v>
      </c>
      <c r="B338" s="7">
        <v>5115.7998046875</v>
      </c>
      <c r="C338" s="7">
        <v>84.669998168945313</v>
      </c>
      <c r="D338" s="7">
        <v>3703.429931640625</v>
      </c>
      <c r="E338" s="8">
        <f t="shared" si="20"/>
        <v>609128.24</v>
      </c>
      <c r="F338" s="8">
        <f t="shared" si="21"/>
        <v>10081.49</v>
      </c>
      <c r="G338" s="9">
        <f t="shared" si="22"/>
        <v>-1.1491146375145677E-2</v>
      </c>
      <c r="H338" s="9">
        <f t="shared" si="23"/>
        <v>-6.1573647346448808E-3</v>
      </c>
    </row>
    <row r="339" spans="1:8" ht="20" customHeight="1">
      <c r="A339" s="10">
        <v>46094</v>
      </c>
      <c r="B339" s="11">
        <v>5052.5</v>
      </c>
      <c r="C339" s="11">
        <v>80.91400146484375</v>
      </c>
      <c r="D339" s="11">
        <v>3692.56005859375</v>
      </c>
      <c r="E339" s="12">
        <f t="shared" si="20"/>
        <v>599825.54</v>
      </c>
      <c r="F339" s="12">
        <f t="shared" si="21"/>
        <v>9605.99</v>
      </c>
      <c r="G339" s="13">
        <f t="shared" si="22"/>
        <v>-1.5272153528787228E-2</v>
      </c>
      <c r="H339" s="13">
        <f t="shared" si="23"/>
        <v>-4.7165647141444368E-2</v>
      </c>
    </row>
    <row r="340" spans="1:8" ht="20" customHeight="1">
      <c r="A340" s="6">
        <v>46097</v>
      </c>
      <c r="B340" s="7">
        <v>4994</v>
      </c>
      <c r="C340" s="7">
        <v>80.26300048828125</v>
      </c>
      <c r="D340" s="7">
        <v>3638.606689453125</v>
      </c>
      <c r="E340" s="8">
        <f t="shared" si="20"/>
        <v>584217.69999999995</v>
      </c>
      <c r="F340" s="8">
        <f t="shared" si="21"/>
        <v>9389.48</v>
      </c>
      <c r="G340" s="9">
        <f t="shared" si="22"/>
        <v>-2.6020632599272252E-2</v>
      </c>
      <c r="H340" s="9">
        <f t="shared" si="23"/>
        <v>-2.2539061564711207E-2</v>
      </c>
    </row>
    <row r="341" spans="1:8" ht="20" customHeight="1">
      <c r="A341" s="10">
        <v>46098</v>
      </c>
      <c r="B341" s="11">
        <v>5001</v>
      </c>
      <c r="C341" s="11">
        <v>79.529998779296875</v>
      </c>
      <c r="D341" s="11">
        <v>3702.239990234375</v>
      </c>
      <c r="E341" s="12">
        <f t="shared" si="20"/>
        <v>595267.93000000005</v>
      </c>
      <c r="F341" s="12">
        <f t="shared" si="21"/>
        <v>9466.44</v>
      </c>
      <c r="G341" s="13">
        <f t="shared" si="22"/>
        <v>1.8914575850748957E-2</v>
      </c>
      <c r="H341" s="13">
        <f t="shared" si="23"/>
        <v>8.196407042775633E-3</v>
      </c>
    </row>
    <row r="342" spans="1:8" ht="20" customHeight="1">
      <c r="A342" s="6">
        <v>46099</v>
      </c>
      <c r="B342" s="7">
        <v>4889.89990234375</v>
      </c>
      <c r="C342" s="7">
        <v>77.237998962402344</v>
      </c>
      <c r="D342" s="7">
        <v>3699.389892578125</v>
      </c>
      <c r="E342" s="8">
        <f t="shared" si="20"/>
        <v>581595.63</v>
      </c>
      <c r="F342" s="8">
        <f t="shared" si="21"/>
        <v>9186.5400000000009</v>
      </c>
      <c r="G342" s="9">
        <f t="shared" si="22"/>
        <v>-2.2968312773039942E-2</v>
      </c>
      <c r="H342" s="9">
        <f t="shared" si="23"/>
        <v>-2.9567609365294623E-2</v>
      </c>
    </row>
    <row r="343" spans="1:8" ht="20" customHeight="1">
      <c r="A343" s="10">
        <v>46100</v>
      </c>
      <c r="B343" s="11">
        <v>4600.7001953125</v>
      </c>
      <c r="C343" s="11">
        <v>70.902000427246094</v>
      </c>
      <c r="D343" s="11">
        <v>3704.31005859375</v>
      </c>
      <c r="E343" s="12">
        <f t="shared" si="20"/>
        <v>547926.53</v>
      </c>
      <c r="F343" s="12">
        <f t="shared" si="21"/>
        <v>8444.17</v>
      </c>
      <c r="G343" s="13">
        <f t="shared" si="22"/>
        <v>-5.7890909531077422E-2</v>
      </c>
      <c r="H343" s="13">
        <f t="shared" si="23"/>
        <v>-8.0810620756019205E-2</v>
      </c>
    </row>
    <row r="344" spans="1:8" ht="20" customHeight="1">
      <c r="A344" s="6">
        <v>46101</v>
      </c>
      <c r="B344" s="7">
        <v>4570.39990234375</v>
      </c>
      <c r="C344" s="7">
        <v>69.360000610351563</v>
      </c>
      <c r="D344" s="7">
        <v>3690.949951171875</v>
      </c>
      <c r="E344" s="8">
        <f t="shared" si="20"/>
        <v>542354.72</v>
      </c>
      <c r="F344" s="8">
        <f t="shared" si="21"/>
        <v>8230.73</v>
      </c>
      <c r="G344" s="9">
        <f t="shared" si="22"/>
        <v>-1.016889983407092E-2</v>
      </c>
      <c r="H344" s="9">
        <f t="shared" si="23"/>
        <v>-2.5276610963540586E-2</v>
      </c>
    </row>
    <row r="345" spans="1:8" ht="20" customHeight="1">
      <c r="A345" s="10">
        <v>46104</v>
      </c>
      <c r="B345" s="11">
        <v>4404.10009765625</v>
      </c>
      <c r="C345" s="11">
        <v>69.049003601074219</v>
      </c>
      <c r="D345" s="11">
        <v>3626.27783203125</v>
      </c>
      <c r="E345" s="12">
        <f t="shared" si="20"/>
        <v>513463.19</v>
      </c>
      <c r="F345" s="12">
        <f t="shared" si="21"/>
        <v>8050.25</v>
      </c>
      <c r="G345" s="13">
        <f t="shared" si="22"/>
        <v>-5.327054220160557E-2</v>
      </c>
      <c r="H345" s="13">
        <f t="shared" si="23"/>
        <v>-2.1927581150153093E-2</v>
      </c>
    </row>
    <row r="346" spans="1:8" ht="20" customHeight="1">
      <c r="A346" s="6">
        <v>46105</v>
      </c>
      <c r="B346" s="7">
        <v>4399.2998046875</v>
      </c>
      <c r="C346" s="7">
        <v>69.274002075195313</v>
      </c>
      <c r="D346" s="7">
        <v>3709.570068359375</v>
      </c>
      <c r="E346" s="8">
        <f t="shared" si="20"/>
        <v>524684.46</v>
      </c>
      <c r="F346" s="8">
        <f t="shared" si="21"/>
        <v>8261.99</v>
      </c>
      <c r="G346" s="9">
        <f t="shared" si="22"/>
        <v>2.1854088508272543E-2</v>
      </c>
      <c r="H346" s="9">
        <f t="shared" si="23"/>
        <v>2.6302288748796594E-2</v>
      </c>
    </row>
    <row r="347" spans="1:8" ht="20" customHeight="1">
      <c r="A347" s="10">
        <v>46106</v>
      </c>
      <c r="B347" s="11">
        <v>4549.7998046875</v>
      </c>
      <c r="C347" s="11">
        <v>72.361000061035156</v>
      </c>
      <c r="D347" s="11">
        <v>3703.22998046875</v>
      </c>
      <c r="E347" s="12">
        <f t="shared" si="20"/>
        <v>541706.48</v>
      </c>
      <c r="F347" s="12">
        <f t="shared" si="21"/>
        <v>8615.42</v>
      </c>
      <c r="G347" s="13">
        <f t="shared" si="22"/>
        <v>3.2442394043841166E-2</v>
      </c>
      <c r="H347" s="13">
        <f t="shared" si="23"/>
        <v>4.2777829554381003E-2</v>
      </c>
    </row>
    <row r="348" spans="1:8" ht="20" customHeight="1">
      <c r="A348" s="6">
        <v>46107</v>
      </c>
      <c r="B348" s="7">
        <v>4375.5</v>
      </c>
      <c r="C348" s="7">
        <v>67.670997619628906</v>
      </c>
      <c r="D348" s="7">
        <v>3698.919921875</v>
      </c>
      <c r="E348" s="8">
        <f t="shared" si="20"/>
        <v>520347.75</v>
      </c>
      <c r="F348" s="8">
        <f t="shared" si="21"/>
        <v>8047.64</v>
      </c>
      <c r="G348" s="9">
        <f t="shared" si="22"/>
        <v>-3.9428603475446668E-2</v>
      </c>
      <c r="H348" s="9">
        <f t="shared" si="23"/>
        <v>-6.590276504221497E-2</v>
      </c>
    </row>
    <row r="349" spans="1:8" ht="20" customHeight="1">
      <c r="A349" s="10">
        <v>46108</v>
      </c>
      <c r="B349" s="11">
        <v>4492</v>
      </c>
      <c r="C349" s="11">
        <v>69.544998168945313</v>
      </c>
      <c r="D349" s="11">
        <v>3687.340087890625</v>
      </c>
      <c r="E349" s="12">
        <f t="shared" si="20"/>
        <v>532529.91</v>
      </c>
      <c r="F349" s="12">
        <f t="shared" si="21"/>
        <v>8244.61</v>
      </c>
      <c r="G349" s="13">
        <f t="shared" si="22"/>
        <v>2.3411574278931795E-2</v>
      </c>
      <c r="H349" s="13">
        <f t="shared" si="23"/>
        <v>2.4475498406986426E-2</v>
      </c>
    </row>
    <row r="350" spans="1:8" ht="20" customHeight="1">
      <c r="A350" s="6">
        <v>46110</v>
      </c>
      <c r="B350" s="7">
        <v>4492</v>
      </c>
      <c r="C350" s="7">
        <v>69.544998168945313</v>
      </c>
      <c r="D350" s="7">
        <v>3672.280029296875</v>
      </c>
      <c r="E350" s="8">
        <f t="shared" si="20"/>
        <v>530354.92000000004</v>
      </c>
      <c r="F350" s="8">
        <f t="shared" si="21"/>
        <v>8210.94</v>
      </c>
      <c r="G350" s="9">
        <f t="shared" si="22"/>
        <v>-4.0842588541176788E-3</v>
      </c>
      <c r="H350" s="9">
        <f t="shared" si="23"/>
        <v>-4.0838802563129212E-3</v>
      </c>
    </row>
    <row r="351" spans="1:8" ht="20" customHeight="1">
      <c r="A351" s="10">
        <v>46111</v>
      </c>
      <c r="B351" s="11">
        <v>4526</v>
      </c>
      <c r="C351" s="11">
        <v>70.323997497558594</v>
      </c>
      <c r="D351" s="11">
        <v>3675.239990234375</v>
      </c>
      <c r="E351" s="12">
        <f t="shared" si="20"/>
        <v>534799.9</v>
      </c>
      <c r="F351" s="12">
        <f t="shared" si="21"/>
        <v>8309.6</v>
      </c>
      <c r="G351" s="13">
        <f t="shared" si="22"/>
        <v>8.3811421981339982E-3</v>
      </c>
      <c r="H351" s="13">
        <f t="shared" si="23"/>
        <v>1.2015676646035636E-2</v>
      </c>
    </row>
    <row r="352" spans="1:8" ht="20" customHeight="1">
      <c r="A352" s="6">
        <v>46112</v>
      </c>
      <c r="B352" s="7">
        <v>4647.60009765625</v>
      </c>
      <c r="C352" s="7">
        <v>74.69000244140625</v>
      </c>
      <c r="D352" s="7">
        <v>3681.830078125</v>
      </c>
      <c r="E352" s="8">
        <f t="shared" si="20"/>
        <v>550153.09</v>
      </c>
      <c r="F352" s="8">
        <f t="shared" si="21"/>
        <v>8841.32</v>
      </c>
      <c r="G352" s="9">
        <f t="shared" si="22"/>
        <v>2.8708288838498183E-2</v>
      </c>
      <c r="H352" s="9">
        <f t="shared" si="23"/>
        <v>6.3988639645710901E-2</v>
      </c>
    </row>
    <row r="353" spans="1:8" ht="20" customHeight="1">
      <c r="A353" s="10">
        <v>46113</v>
      </c>
      <c r="B353" s="11">
        <v>4783.2001953125</v>
      </c>
      <c r="C353" s="11">
        <v>75.866996765136719</v>
      </c>
      <c r="D353" s="11">
        <v>3671.669921875</v>
      </c>
      <c r="E353" s="12">
        <f t="shared" si="20"/>
        <v>564642.09</v>
      </c>
      <c r="F353" s="12">
        <f t="shared" si="21"/>
        <v>8955.8700000000008</v>
      </c>
      <c r="G353" s="13">
        <f t="shared" si="22"/>
        <v>2.6336305772635033E-2</v>
      </c>
      <c r="H353" s="13">
        <f t="shared" si="23"/>
        <v>1.2956210158664215E-2</v>
      </c>
    </row>
    <row r="354" spans="1:8" ht="20" customHeight="1">
      <c r="A354" s="6">
        <v>46114</v>
      </c>
      <c r="B354" s="7">
        <v>4651.5</v>
      </c>
      <c r="C354" s="7">
        <v>72.735000610351563</v>
      </c>
      <c r="D354" s="7">
        <v>3660.7099609375</v>
      </c>
      <c r="E354" s="8">
        <f t="shared" si="20"/>
        <v>547456.24</v>
      </c>
      <c r="F354" s="8">
        <f t="shared" si="21"/>
        <v>8560.51</v>
      </c>
      <c r="G354" s="9">
        <f t="shared" si="22"/>
        <v>-3.0436714344125457E-2</v>
      </c>
      <c r="H354" s="9">
        <f t="shared" si="23"/>
        <v>-4.4145348246457411E-2</v>
      </c>
    </row>
    <row r="355" spans="1:8" ht="20" customHeight="1">
      <c r="A355" s="10">
        <v>46117</v>
      </c>
      <c r="B355" s="11">
        <v>4651.5</v>
      </c>
      <c r="C355" s="11">
        <v>72.735000610351563</v>
      </c>
      <c r="D355" s="11">
        <v>3666.669921875</v>
      </c>
      <c r="E355" s="12">
        <f t="shared" si="20"/>
        <v>548347.54</v>
      </c>
      <c r="F355" s="12">
        <f t="shared" si="21"/>
        <v>8574.4500000000007</v>
      </c>
      <c r="G355" s="13">
        <f t="shared" si="22"/>
        <v>1.6280753325599989E-3</v>
      </c>
      <c r="H355" s="13">
        <f t="shared" si="23"/>
        <v>1.628407653282399E-3</v>
      </c>
    </row>
    <row r="356" spans="1:8" ht="20" customHeight="1">
      <c r="A356" s="6">
        <v>46118</v>
      </c>
      <c r="B356" s="7">
        <v>4656.7998046875</v>
      </c>
      <c r="C356" s="7">
        <v>72.661003112792969</v>
      </c>
      <c r="D356" s="7">
        <v>3681.449951171875</v>
      </c>
      <c r="E356" s="8">
        <f t="shared" si="20"/>
        <v>551185.18000000005</v>
      </c>
      <c r="F356" s="8">
        <f t="shared" si="21"/>
        <v>8600.26</v>
      </c>
      <c r="G356" s="9">
        <f t="shared" si="22"/>
        <v>5.1748932802726053E-3</v>
      </c>
      <c r="H356" s="9">
        <f t="shared" si="23"/>
        <v>3.0101056044410414E-3</v>
      </c>
    </row>
    <row r="357" spans="1:8" ht="20" customHeight="1">
      <c r="A357" s="10">
        <v>46119</v>
      </c>
      <c r="B357" s="11">
        <v>4657.10009765625</v>
      </c>
      <c r="C357" s="11">
        <v>71.825996398925781</v>
      </c>
      <c r="D357" s="11">
        <v>3689.429931640625</v>
      </c>
      <c r="E357" s="12">
        <f t="shared" si="20"/>
        <v>552415.56000000006</v>
      </c>
      <c r="F357" s="12">
        <f t="shared" si="21"/>
        <v>8519.85</v>
      </c>
      <c r="G357" s="13">
        <f t="shared" si="22"/>
        <v>2.2322443429992158E-3</v>
      </c>
      <c r="H357" s="13">
        <f t="shared" si="23"/>
        <v>-9.349717334127091E-3</v>
      </c>
    </row>
    <row r="358" spans="1:8" ht="20" customHeight="1">
      <c r="A358" s="6">
        <v>46120</v>
      </c>
      <c r="B358" s="7">
        <v>4749.5</v>
      </c>
      <c r="C358" s="7">
        <v>75.2239990234375</v>
      </c>
      <c r="D358" s="7">
        <v>3645.429931640625</v>
      </c>
      <c r="E358" s="8">
        <f t="shared" si="20"/>
        <v>556657.04</v>
      </c>
      <c r="F358" s="8">
        <f t="shared" si="21"/>
        <v>8816.5</v>
      </c>
      <c r="G358" s="9">
        <f t="shared" si="22"/>
        <v>7.6780603355922506E-3</v>
      </c>
      <c r="H358" s="9">
        <f t="shared" si="23"/>
        <v>3.4818688122443424E-2</v>
      </c>
    </row>
    <row r="359" spans="1:8" ht="20" customHeight="1">
      <c r="A359" s="10">
        <v>46121</v>
      </c>
      <c r="B359" s="11">
        <v>4792.2001953125</v>
      </c>
      <c r="C359" s="11">
        <v>76.277000427246094</v>
      </c>
      <c r="D359" s="11">
        <v>3653.090087890625</v>
      </c>
      <c r="E359" s="12">
        <f t="shared" si="20"/>
        <v>562841.87</v>
      </c>
      <c r="F359" s="12">
        <f t="shared" si="21"/>
        <v>8958.7000000000007</v>
      </c>
      <c r="G359" s="13">
        <f t="shared" si="22"/>
        <v>1.1110665195215995E-2</v>
      </c>
      <c r="H359" s="13">
        <f t="shared" si="23"/>
        <v>1.6128849316622326E-2</v>
      </c>
    </row>
    <row r="360" spans="1:8" ht="20" customHeight="1">
      <c r="A360" s="6">
        <v>46122</v>
      </c>
      <c r="B360" s="7">
        <v>4761.89990234375</v>
      </c>
      <c r="C360" s="7">
        <v>76.323997497558594</v>
      </c>
      <c r="D360" s="7">
        <v>3653.090087890625</v>
      </c>
      <c r="E360" s="8">
        <f t="shared" si="20"/>
        <v>559283.11</v>
      </c>
      <c r="F360" s="8">
        <f t="shared" si="21"/>
        <v>8964.2199999999993</v>
      </c>
      <c r="G360" s="9">
        <f t="shared" si="22"/>
        <v>-6.3228416180196572E-3</v>
      </c>
      <c r="H360" s="9">
        <f t="shared" si="23"/>
        <v>6.1616082690553508E-4</v>
      </c>
    </row>
    <row r="361" spans="1:8" ht="20" customHeight="1">
      <c r="A361" s="10">
        <v>46124</v>
      </c>
      <c r="B361" s="11">
        <v>4761.89990234375</v>
      </c>
      <c r="C361" s="11">
        <v>76.323997497558594</v>
      </c>
      <c r="D361" s="11">
        <v>3643.7099609375</v>
      </c>
      <c r="E361" s="12">
        <f t="shared" si="20"/>
        <v>557847.03</v>
      </c>
      <c r="F361" s="12">
        <f t="shared" si="21"/>
        <v>8941.2000000000007</v>
      </c>
      <c r="G361" s="13">
        <f t="shared" si="22"/>
        <v>-2.5677156601420668E-3</v>
      </c>
      <c r="H361" s="13">
        <f t="shared" si="23"/>
        <v>-2.5679869525735222E-3</v>
      </c>
    </row>
    <row r="362" spans="1:8" ht="20" customHeight="1">
      <c r="A362" s="6">
        <v>46125</v>
      </c>
      <c r="B362" s="7">
        <v>4742.39990234375</v>
      </c>
      <c r="C362" s="7">
        <v>75.523002624511719</v>
      </c>
      <c r="D362" s="7">
        <v>3598.22998046875</v>
      </c>
      <c r="E362" s="8">
        <f t="shared" si="20"/>
        <v>548628.23</v>
      </c>
      <c r="F362" s="8">
        <f t="shared" si="21"/>
        <v>8736.94</v>
      </c>
      <c r="G362" s="9">
        <f t="shared" si="22"/>
        <v>-1.6525677299025945E-2</v>
      </c>
      <c r="H362" s="9">
        <f t="shared" si="23"/>
        <v>-2.2844808303136066E-2</v>
      </c>
    </row>
    <row r="363" spans="1:8" ht="20" customHeight="1">
      <c r="A363" s="10">
        <v>46126</v>
      </c>
      <c r="B363" s="11">
        <v>4825</v>
      </c>
      <c r="C363" s="11">
        <v>79.390998840332031</v>
      </c>
      <c r="D363" s="11">
        <v>3595.010009765625</v>
      </c>
      <c r="E363" s="12">
        <f t="shared" si="20"/>
        <v>557684.38</v>
      </c>
      <c r="F363" s="12">
        <f t="shared" si="21"/>
        <v>9176.19</v>
      </c>
      <c r="G363" s="13">
        <f t="shared" si="22"/>
        <v>1.6506897576160133E-2</v>
      </c>
      <c r="H363" s="13">
        <f t="shared" si="23"/>
        <v>5.027503908691143E-2</v>
      </c>
    </row>
    <row r="364" spans="1:8" ht="20" customHeight="1">
      <c r="A364" s="6">
        <v>46127</v>
      </c>
      <c r="B364" s="7">
        <v>4800</v>
      </c>
      <c r="C364" s="7">
        <v>79.490997314453125</v>
      </c>
      <c r="D364" s="7">
        <v>3615.14990234375</v>
      </c>
      <c r="E364" s="8">
        <f t="shared" si="20"/>
        <v>557902.89</v>
      </c>
      <c r="F364" s="8">
        <f t="shared" si="21"/>
        <v>9239.2199999999993</v>
      </c>
      <c r="G364" s="9">
        <f t="shared" si="22"/>
        <v>3.9181660422335892E-4</v>
      </c>
      <c r="H364" s="9">
        <f t="shared" si="23"/>
        <v>6.8688638748760468E-3</v>
      </c>
    </row>
    <row r="365" spans="1:8" ht="20" customHeight="1">
      <c r="A365" s="10">
        <v>46128</v>
      </c>
      <c r="B365" s="11">
        <v>4785.39990234375</v>
      </c>
      <c r="C365" s="11">
        <v>78.606002807617188</v>
      </c>
      <c r="D365" s="11">
        <v>3613.030029296875</v>
      </c>
      <c r="E365" s="12">
        <f t="shared" si="20"/>
        <v>555879.77</v>
      </c>
      <c r="F365" s="12">
        <f t="shared" si="21"/>
        <v>9131</v>
      </c>
      <c r="G365" s="13">
        <f t="shared" si="22"/>
        <v>-3.6262941746008797E-3</v>
      </c>
      <c r="H365" s="13">
        <f t="shared" si="23"/>
        <v>-1.1713109981145525E-2</v>
      </c>
    </row>
    <row r="366" spans="1:8" ht="20" customHeight="1">
      <c r="A366" s="6">
        <v>46129</v>
      </c>
      <c r="B366" s="7">
        <v>4857.60009765625</v>
      </c>
      <c r="C366" s="7">
        <v>81.737998962402344</v>
      </c>
      <c r="D366" s="7">
        <v>3613.030029296875</v>
      </c>
      <c r="E366" s="8">
        <f t="shared" si="20"/>
        <v>564266.66</v>
      </c>
      <c r="F366" s="8">
        <f t="shared" si="21"/>
        <v>9494.82</v>
      </c>
      <c r="G366" s="9">
        <f t="shared" si="22"/>
        <v>1.5087597089564914E-2</v>
      </c>
      <c r="H366" s="9">
        <f t="shared" si="23"/>
        <v>3.9844485817544593E-2</v>
      </c>
    </row>
    <row r="367" spans="1:8" ht="20" customHeight="1">
      <c r="A367" s="10">
        <v>46131</v>
      </c>
      <c r="B367" s="11">
        <v>4857.60009765625</v>
      </c>
      <c r="C367" s="11">
        <v>81.737998962402344</v>
      </c>
      <c r="D367" s="11">
        <v>3603.8701171875</v>
      </c>
      <c r="E367" s="12">
        <f t="shared" si="20"/>
        <v>562836.11</v>
      </c>
      <c r="F367" s="12">
        <f t="shared" si="21"/>
        <v>9470.75</v>
      </c>
      <c r="G367" s="13">
        <f t="shared" si="22"/>
        <v>-2.5352375063237768E-3</v>
      </c>
      <c r="H367" s="13">
        <f t="shared" si="23"/>
        <v>-2.535066488885488E-3</v>
      </c>
    </row>
    <row r="368" spans="1:8" ht="20" customHeight="1">
      <c r="A368" s="6">
        <v>46132</v>
      </c>
      <c r="B368" s="7">
        <v>4806.60009765625</v>
      </c>
      <c r="C368" s="7">
        <v>79.950996398925781</v>
      </c>
      <c r="D368" s="7">
        <v>3578.639892578125</v>
      </c>
      <c r="E368" s="8">
        <f t="shared" si="20"/>
        <v>553027.91</v>
      </c>
      <c r="F368" s="8">
        <f t="shared" si="21"/>
        <v>9198.84</v>
      </c>
      <c r="G368" s="9">
        <f t="shared" si="22"/>
        <v>-1.7426387230200908E-2</v>
      </c>
      <c r="H368" s="9">
        <f t="shared" si="23"/>
        <v>-2.8710503392022791E-2</v>
      </c>
    </row>
    <row r="369" spans="1:8" ht="20" customHeight="1">
      <c r="A369" s="10">
        <v>46133</v>
      </c>
      <c r="B369" s="11">
        <v>4698.39990234375</v>
      </c>
      <c r="C369" s="11">
        <v>76.411003112792969</v>
      </c>
      <c r="D369" s="11">
        <v>3584.510009765625</v>
      </c>
      <c r="E369" s="12">
        <f t="shared" si="20"/>
        <v>541465.56000000006</v>
      </c>
      <c r="F369" s="12">
        <f t="shared" si="21"/>
        <v>8805.9599999999991</v>
      </c>
      <c r="G369" s="13">
        <f t="shared" si="22"/>
        <v>-2.0907353482394725E-2</v>
      </c>
      <c r="H369" s="13">
        <f t="shared" si="23"/>
        <v>-4.2709732966330648E-2</v>
      </c>
    </row>
    <row r="370" spans="1:8" ht="20" customHeight="1">
      <c r="A370" s="6">
        <v>46134</v>
      </c>
      <c r="B370" s="7">
        <v>4732.5</v>
      </c>
      <c r="C370" s="7">
        <v>77.892997741699219</v>
      </c>
      <c r="D370" s="7">
        <v>3572.97998046875</v>
      </c>
      <c r="E370" s="8">
        <f t="shared" si="20"/>
        <v>543641.07999999996</v>
      </c>
      <c r="F370" s="8">
        <f t="shared" si="21"/>
        <v>8947.8799999999992</v>
      </c>
      <c r="G370" s="9">
        <f t="shared" si="22"/>
        <v>4.0178363329329793E-3</v>
      </c>
      <c r="H370" s="9">
        <f t="shared" si="23"/>
        <v>1.6116357557835838E-2</v>
      </c>
    </row>
    <row r="371" spans="1:8" ht="20" customHeight="1">
      <c r="A371" s="10">
        <v>46135</v>
      </c>
      <c r="B371" s="11">
        <v>4705.10009765625</v>
      </c>
      <c r="C371" s="11">
        <v>75.464996337890625</v>
      </c>
      <c r="D371" s="11">
        <v>3565.64990234375</v>
      </c>
      <c r="E371" s="12">
        <f t="shared" si="20"/>
        <v>539384.71</v>
      </c>
      <c r="F371" s="12">
        <f t="shared" si="21"/>
        <v>8651.18</v>
      </c>
      <c r="G371" s="13">
        <f t="shared" si="22"/>
        <v>-7.8293752194002631E-3</v>
      </c>
      <c r="H371" s="13">
        <f t="shared" si="23"/>
        <v>-3.3158692338296776E-2</v>
      </c>
    </row>
    <row r="372" spans="1:8" ht="20" customHeight="1">
      <c r="A372" s="6">
        <v>46136</v>
      </c>
      <c r="B372" s="7">
        <v>4722.2998046875</v>
      </c>
      <c r="C372" s="7">
        <v>76.383003234863281</v>
      </c>
      <c r="D372" s="7">
        <v>3565.64990234375</v>
      </c>
      <c r="E372" s="8">
        <f t="shared" si="20"/>
        <v>541356.44999999995</v>
      </c>
      <c r="F372" s="8">
        <f t="shared" si="21"/>
        <v>8756.42</v>
      </c>
      <c r="G372" s="9">
        <f t="shared" si="22"/>
        <v>3.6555355823860687E-3</v>
      </c>
      <c r="H372" s="9">
        <f t="shared" si="23"/>
        <v>1.2164814510852828E-2</v>
      </c>
    </row>
    <row r="373" spans="1:8" ht="20" customHeight="1">
      <c r="A373" s="10">
        <v>46138</v>
      </c>
      <c r="B373" s="11">
        <v>4722.2998046875</v>
      </c>
      <c r="C373" s="11">
        <v>76.383003234863281</v>
      </c>
      <c r="D373" s="11">
        <v>3552.72998046875</v>
      </c>
      <c r="E373" s="12">
        <f t="shared" si="20"/>
        <v>539394.88</v>
      </c>
      <c r="F373" s="12">
        <f t="shared" si="21"/>
        <v>8724.69</v>
      </c>
      <c r="G373" s="13">
        <f t="shared" si="22"/>
        <v>-3.6234351691938815E-3</v>
      </c>
      <c r="H373" s="13">
        <f t="shared" si="23"/>
        <v>-3.6236270073842464E-3</v>
      </c>
    </row>
    <row r="374" spans="1:8" ht="20" customHeight="1">
      <c r="A374" s="6">
        <v>46139</v>
      </c>
      <c r="B374" s="7">
        <v>4675.39990234375</v>
      </c>
      <c r="C374" s="7">
        <v>75.002998352050781</v>
      </c>
      <c r="D374" s="7">
        <v>3621.8701171875</v>
      </c>
      <c r="E374" s="8">
        <f t="shared" si="20"/>
        <v>544430.81000000006</v>
      </c>
      <c r="F374" s="8">
        <f t="shared" si="21"/>
        <v>8733.7900000000009</v>
      </c>
      <c r="G374" s="9">
        <f t="shared" si="22"/>
        <v>9.3362584383449299E-3</v>
      </c>
      <c r="H374" s="9">
        <f t="shared" si="23"/>
        <v>1.0430170011771608E-3</v>
      </c>
    </row>
    <row r="375" spans="1:8" ht="20" customHeight="1">
      <c r="A375" s="10">
        <v>46140</v>
      </c>
      <c r="B375" s="11">
        <v>4591.5</v>
      </c>
      <c r="C375" s="11">
        <v>73.205001831054688</v>
      </c>
      <c r="D375" s="11">
        <v>3610.199951171875</v>
      </c>
      <c r="E375" s="12">
        <f t="shared" si="20"/>
        <v>532938.27</v>
      </c>
      <c r="F375" s="12">
        <f t="shared" si="21"/>
        <v>8496.9500000000007</v>
      </c>
      <c r="G375" s="13">
        <f t="shared" si="22"/>
        <v>-2.11092755753482E-2</v>
      </c>
      <c r="H375" s="13">
        <f t="shared" si="23"/>
        <v>-2.7117665984641274E-2</v>
      </c>
    </row>
    <row r="376" spans="1:8" ht="20" customHeight="1">
      <c r="A376" s="6">
        <v>46141</v>
      </c>
      <c r="B376" s="7">
        <v>4545.2001953125</v>
      </c>
      <c r="C376" s="7">
        <v>71.569000244140625</v>
      </c>
      <c r="D376" s="7">
        <v>3633.969970703125</v>
      </c>
      <c r="E376" s="8">
        <f t="shared" si="20"/>
        <v>531037.77</v>
      </c>
      <c r="F376" s="8">
        <f t="shared" si="21"/>
        <v>8361.75</v>
      </c>
      <c r="G376" s="9">
        <f t="shared" si="22"/>
        <v>-3.5660790507688628E-3</v>
      </c>
      <c r="H376" s="9">
        <f t="shared" si="23"/>
        <v>-1.5911591806471819E-2</v>
      </c>
    </row>
    <row r="377" spans="1:8" ht="20" customHeight="1">
      <c r="A377" s="10">
        <v>46142</v>
      </c>
      <c r="B377" s="11">
        <v>4614.7001953125</v>
      </c>
      <c r="C377" s="11">
        <v>73.53399658203125</v>
      </c>
      <c r="D377" s="11">
        <v>3655.080078125</v>
      </c>
      <c r="E377" s="12">
        <f t="shared" si="20"/>
        <v>542289.81999999995</v>
      </c>
      <c r="F377" s="12">
        <f t="shared" si="21"/>
        <v>8641.24</v>
      </c>
      <c r="G377" s="13">
        <f t="shared" si="22"/>
        <v>2.1188794160535755E-2</v>
      </c>
      <c r="H377" s="13">
        <f t="shared" si="23"/>
        <v>3.3424821359165219E-2</v>
      </c>
    </row>
    <row r="378" spans="1:8" ht="20" customHeight="1">
      <c r="A378" s="6">
        <v>46143</v>
      </c>
      <c r="B378" s="7">
        <v>4629.89990234375</v>
      </c>
      <c r="C378" s="7">
        <v>75.950996398925781</v>
      </c>
      <c r="D378" s="7">
        <v>3655.080078125</v>
      </c>
      <c r="E378" s="8">
        <f t="shared" si="20"/>
        <v>544075.99</v>
      </c>
      <c r="F378" s="8">
        <f t="shared" si="21"/>
        <v>8925.27</v>
      </c>
      <c r="G378" s="9">
        <f t="shared" si="22"/>
        <v>3.2937553576057209E-3</v>
      </c>
      <c r="H378" s="9">
        <f t="shared" si="23"/>
        <v>3.286912526442972E-2</v>
      </c>
    </row>
    <row r="379" spans="1:8" ht="20" customHeight="1">
      <c r="A379" s="10">
        <v>46145</v>
      </c>
      <c r="B379" s="11">
        <v>4629.89990234375</v>
      </c>
      <c r="C379" s="11">
        <v>75.950996398925781</v>
      </c>
      <c r="D379" s="11">
        <v>3655.550048828125</v>
      </c>
      <c r="E379" s="12">
        <f t="shared" si="20"/>
        <v>544145.94999999995</v>
      </c>
      <c r="F379" s="12">
        <f t="shared" si="21"/>
        <v>8926.42</v>
      </c>
      <c r="G379" s="13">
        <f t="shared" si="22"/>
        <v>1.2858497946208349E-4</v>
      </c>
      <c r="H379" s="13">
        <f t="shared" si="23"/>
        <v>1.288476427043256E-4</v>
      </c>
    </row>
    <row r="380" spans="1:8" ht="20" customHeight="1">
      <c r="A380" s="6">
        <v>46146</v>
      </c>
      <c r="B380" s="7">
        <v>4519.5</v>
      </c>
      <c r="C380" s="7">
        <v>73.071998596191406</v>
      </c>
      <c r="D380" s="7">
        <v>3727.8798828125</v>
      </c>
      <c r="E380" s="8">
        <f t="shared" si="20"/>
        <v>541680.69999999995</v>
      </c>
      <c r="F380" s="8">
        <f t="shared" si="21"/>
        <v>8757.98</v>
      </c>
      <c r="G380" s="9">
        <f t="shared" si="22"/>
        <v>-4.5304940705705888E-3</v>
      </c>
      <c r="H380" s="9">
        <f t="shared" si="23"/>
        <v>-1.8869826873483493E-2</v>
      </c>
    </row>
    <row r="381" spans="1:8" ht="20" customHeight="1">
      <c r="A381" s="10">
        <v>46147</v>
      </c>
      <c r="B381" s="11">
        <v>4555.7998046875</v>
      </c>
      <c r="C381" s="11">
        <v>73.108001708984375</v>
      </c>
      <c r="D381" s="11">
        <v>3712.85009765625</v>
      </c>
      <c r="E381" s="12">
        <f t="shared" si="20"/>
        <v>543829.93000000005</v>
      </c>
      <c r="F381" s="12">
        <f t="shared" si="21"/>
        <v>8726.9699999999993</v>
      </c>
      <c r="G381" s="13">
        <f t="shared" si="22"/>
        <v>3.9677064366518836E-3</v>
      </c>
      <c r="H381" s="13">
        <f t="shared" si="23"/>
        <v>-3.5407708170149075E-3</v>
      </c>
    </row>
    <row r="382" spans="1:8" ht="20" customHeight="1">
      <c r="A382" s="6">
        <v>46148</v>
      </c>
      <c r="B382" s="7">
        <v>4681.89990234375</v>
      </c>
      <c r="C382" s="7">
        <v>76.810997009277344</v>
      </c>
      <c r="D382" s="7">
        <v>3725.06005859375</v>
      </c>
      <c r="E382" s="8">
        <f t="shared" si="20"/>
        <v>560720.54</v>
      </c>
      <c r="F382" s="8">
        <f t="shared" si="21"/>
        <v>9199.15</v>
      </c>
      <c r="G382" s="9">
        <f t="shared" si="22"/>
        <v>3.1058625258083873E-2</v>
      </c>
      <c r="H382" s="9">
        <f t="shared" si="23"/>
        <v>5.4105835129489424E-2</v>
      </c>
    </row>
    <row r="383" spans="1:8" ht="20" customHeight="1">
      <c r="A383" s="10">
        <v>46149</v>
      </c>
      <c r="B383" s="11">
        <v>4699.7998046875</v>
      </c>
      <c r="C383" s="11">
        <v>79.700996398925781</v>
      </c>
      <c r="D383" s="11">
        <v>3737.929931640625</v>
      </c>
      <c r="E383" s="12">
        <f t="shared" si="20"/>
        <v>564808.95999999996</v>
      </c>
      <c r="F383" s="12">
        <f t="shared" si="21"/>
        <v>9578.25</v>
      </c>
      <c r="G383" s="13">
        <f t="shared" si="22"/>
        <v>7.2913683525842043E-3</v>
      </c>
      <c r="H383" s="13">
        <f t="shared" si="23"/>
        <v>4.1210329215199272E-2</v>
      </c>
    </row>
    <row r="384" spans="1:8" ht="20" customHeight="1">
      <c r="A384" s="6">
        <v>46150</v>
      </c>
      <c r="B384" s="7">
        <v>4720.39990234375</v>
      </c>
      <c r="C384" s="7">
        <v>80.394996643066406</v>
      </c>
      <c r="D384" s="7">
        <v>3737.929931640625</v>
      </c>
      <c r="E384" s="8">
        <f t="shared" si="20"/>
        <v>567284.62</v>
      </c>
      <c r="F384" s="8">
        <f t="shared" si="21"/>
        <v>9661.65</v>
      </c>
      <c r="G384" s="9">
        <f t="shared" si="22"/>
        <v>4.3831811733298859E-3</v>
      </c>
      <c r="H384" s="9">
        <f t="shared" si="23"/>
        <v>8.7072273118784359E-3</v>
      </c>
    </row>
    <row r="385" spans="1:8" ht="20" customHeight="1">
      <c r="A385" s="10">
        <v>46152</v>
      </c>
      <c r="B385" s="11">
        <v>4720.39990234375</v>
      </c>
      <c r="C385" s="11">
        <v>80.394996643066406</v>
      </c>
      <c r="D385" s="11">
        <v>3748.7099609375</v>
      </c>
      <c r="E385" s="12">
        <f t="shared" si="20"/>
        <v>568920.65</v>
      </c>
      <c r="F385" s="12">
        <f t="shared" si="21"/>
        <v>9689.51</v>
      </c>
      <c r="G385" s="13">
        <f t="shared" si="22"/>
        <v>2.8839667819656875E-3</v>
      </c>
      <c r="H385" s="13">
        <f t="shared" si="23"/>
        <v>2.8835654365455782E-3</v>
      </c>
    </row>
    <row r="386" spans="1:8" ht="20" customHeight="1">
      <c r="A386" s="6">
        <v>46153</v>
      </c>
      <c r="B386" s="7">
        <v>4718.7001953125</v>
      </c>
      <c r="C386" s="7">
        <v>85.485000610351563</v>
      </c>
      <c r="D386" s="7">
        <v>3760.360107421875</v>
      </c>
      <c r="E386" s="8">
        <f t="shared" ref="E386:E449" si="24">ROUND((B386/31.1034768)*D386, 2)</f>
        <v>570483.23</v>
      </c>
      <c r="F386" s="8">
        <f t="shared" ref="F386:F449" si="25">ROUND((C386/31.1034768)*D386, 2)</f>
        <v>10335</v>
      </c>
      <c r="G386" s="9">
        <f t="shared" si="22"/>
        <v>2.74656931507049E-3</v>
      </c>
      <c r="H386" s="9">
        <f t="shared" si="23"/>
        <v>6.6617403769643646E-2</v>
      </c>
    </row>
    <row r="387" spans="1:8" ht="20" customHeight="1">
      <c r="A387" s="10">
        <v>46154</v>
      </c>
      <c r="B387" s="11">
        <v>4677.60009765625</v>
      </c>
      <c r="C387" s="11">
        <v>85.129997253417969</v>
      </c>
      <c r="D387" s="11">
        <v>3786.260009765625</v>
      </c>
      <c r="E387" s="12">
        <f t="shared" si="24"/>
        <v>569409.34</v>
      </c>
      <c r="F387" s="12">
        <f t="shared" si="25"/>
        <v>10362.969999999999</v>
      </c>
      <c r="G387" s="13">
        <f t="shared" ref="G387:G450" si="26">IFERROR((E387-E386)/E386, 0)</f>
        <v>-1.882421679599616E-3</v>
      </c>
      <c r="H387" s="13">
        <f t="shared" ref="H387:H450" si="27">IFERROR((F387-F386)/F386, 0)</f>
        <v>2.7063376874696997E-3</v>
      </c>
    </row>
    <row r="388" spans="1:8" ht="20" customHeight="1">
      <c r="A388" s="6">
        <v>46155</v>
      </c>
      <c r="B388" s="7">
        <v>4697.7001953125</v>
      </c>
      <c r="C388" s="7">
        <v>88.88800048828125</v>
      </c>
      <c r="D388" s="7">
        <v>3792.6201171875</v>
      </c>
      <c r="E388" s="8">
        <f t="shared" si="24"/>
        <v>572816.74</v>
      </c>
      <c r="F388" s="8">
        <f t="shared" si="25"/>
        <v>10838.61</v>
      </c>
      <c r="G388" s="9">
        <f t="shared" si="26"/>
        <v>5.9840957297961142E-3</v>
      </c>
      <c r="H388" s="9">
        <f t="shared" si="27"/>
        <v>4.589803888267565E-2</v>
      </c>
    </row>
    <row r="389" spans="1:8" ht="20" customHeight="1">
      <c r="A389" s="10">
        <v>46156</v>
      </c>
      <c r="B389" s="11">
        <v>4678.10009765625</v>
      </c>
      <c r="C389" s="11">
        <v>84.912002563476563</v>
      </c>
      <c r="D389" s="11">
        <v>3787.97998046875</v>
      </c>
      <c r="E389" s="12">
        <f t="shared" si="24"/>
        <v>569728.9</v>
      </c>
      <c r="F389" s="12">
        <f t="shared" si="25"/>
        <v>10341.129999999999</v>
      </c>
      <c r="G389" s="13">
        <f t="shared" si="26"/>
        <v>-5.390624582654424E-3</v>
      </c>
      <c r="H389" s="13">
        <f t="shared" si="27"/>
        <v>-4.5898874486673229E-2</v>
      </c>
    </row>
    <row r="390" spans="1:8" ht="20" customHeight="1">
      <c r="A390" s="6">
        <v>46157</v>
      </c>
      <c r="B390" s="7">
        <v>4555.7998046875</v>
      </c>
      <c r="C390" s="7">
        <v>77.161003112792969</v>
      </c>
      <c r="D390" s="7">
        <v>3787.97998046875</v>
      </c>
      <c r="E390" s="8">
        <f t="shared" si="24"/>
        <v>554834.39</v>
      </c>
      <c r="F390" s="8">
        <f t="shared" si="25"/>
        <v>9397.16</v>
      </c>
      <c r="G390" s="9">
        <f t="shared" si="26"/>
        <v>-2.6143153348899818E-2</v>
      </c>
      <c r="H390" s="9">
        <f t="shared" si="27"/>
        <v>-9.1283060942082675E-2</v>
      </c>
    </row>
    <row r="391" spans="1:8" ht="20" customHeight="1">
      <c r="A391" s="10">
        <v>46159</v>
      </c>
      <c r="B391" s="11">
        <v>4555.7998046875</v>
      </c>
      <c r="C391" s="11">
        <v>77.161003112792969</v>
      </c>
      <c r="D391" s="11">
        <v>3797.360107421875</v>
      </c>
      <c r="E391" s="12">
        <f t="shared" si="24"/>
        <v>556208.31999999995</v>
      </c>
      <c r="F391" s="12">
        <f t="shared" si="25"/>
        <v>9420.43</v>
      </c>
      <c r="G391" s="13">
        <f t="shared" si="26"/>
        <v>2.476288465103857E-3</v>
      </c>
      <c r="H391" s="13">
        <f t="shared" si="27"/>
        <v>2.476280067594937E-3</v>
      </c>
    </row>
    <row r="392" spans="1:8" ht="20" customHeight="1">
      <c r="A392" s="6">
        <v>46160</v>
      </c>
      <c r="B392" s="7">
        <v>4552.5</v>
      </c>
      <c r="C392" s="7">
        <v>77.072998046875</v>
      </c>
      <c r="D392" s="7">
        <v>3797.6201171875</v>
      </c>
      <c r="E392" s="8">
        <f t="shared" si="24"/>
        <v>555843.51</v>
      </c>
      <c r="F392" s="8">
        <f t="shared" si="25"/>
        <v>9410.33</v>
      </c>
      <c r="G392" s="9">
        <f t="shared" si="26"/>
        <v>-6.5588734810716155E-4</v>
      </c>
      <c r="H392" s="9">
        <f t="shared" si="27"/>
        <v>-1.0721378960408775E-3</v>
      </c>
    </row>
    <row r="393" spans="1:8" ht="20" customHeight="1">
      <c r="A393" s="10">
        <v>46161</v>
      </c>
      <c r="B393" s="11">
        <v>4506.2998046875</v>
      </c>
      <c r="C393" s="11">
        <v>74.8280029296875</v>
      </c>
      <c r="D393" s="11">
        <v>3792.75</v>
      </c>
      <c r="E393" s="12">
        <f t="shared" si="24"/>
        <v>549497.04</v>
      </c>
      <c r="F393" s="12">
        <f t="shared" si="25"/>
        <v>9124.51</v>
      </c>
      <c r="G393" s="13">
        <f t="shared" si="26"/>
        <v>-1.1417727986065667E-2</v>
      </c>
      <c r="H393" s="13">
        <f t="shared" si="27"/>
        <v>-3.0373004984947362E-2</v>
      </c>
    </row>
    <row r="394" spans="1:8" ht="20" customHeight="1">
      <c r="A394" s="6">
        <v>46162</v>
      </c>
      <c r="B394" s="7">
        <v>4531.2998046875</v>
      </c>
      <c r="C394" s="7">
        <v>75.850997924804688</v>
      </c>
      <c r="D394" s="7">
        <v>3724.85009765625</v>
      </c>
      <c r="E394" s="8">
        <f t="shared" si="24"/>
        <v>542653.56000000006</v>
      </c>
      <c r="F394" s="8">
        <f t="shared" si="25"/>
        <v>9083.67</v>
      </c>
      <c r="G394" s="9">
        <f t="shared" si="26"/>
        <v>-1.2454079825434512E-2</v>
      </c>
      <c r="H394" s="9">
        <f t="shared" si="27"/>
        <v>-4.4758567857342635E-3</v>
      </c>
    </row>
    <row r="395" spans="1:8" ht="20" customHeight="1">
      <c r="A395" s="10">
        <v>46163</v>
      </c>
      <c r="B395" s="11">
        <v>4539.7998046875</v>
      </c>
      <c r="C395" s="11">
        <v>76.41400146484375</v>
      </c>
      <c r="D395" s="11">
        <v>3690.830078125</v>
      </c>
      <c r="E395" s="12">
        <f t="shared" si="24"/>
        <v>538706</v>
      </c>
      <c r="F395" s="12">
        <f t="shared" si="25"/>
        <v>9067.51</v>
      </c>
      <c r="G395" s="13">
        <f t="shared" si="26"/>
        <v>-7.2745491617157276E-3</v>
      </c>
      <c r="H395" s="13">
        <f t="shared" si="27"/>
        <v>-1.779016630943204E-3</v>
      </c>
    </row>
    <row r="396" spans="1:8" ht="20" customHeight="1">
      <c r="A396" s="6">
        <v>46164</v>
      </c>
      <c r="B396" s="7">
        <v>4521</v>
      </c>
      <c r="C396" s="7">
        <v>75.892997741699219</v>
      </c>
      <c r="D396" s="7">
        <v>3690.830078125</v>
      </c>
      <c r="E396" s="8">
        <f t="shared" si="24"/>
        <v>536475.16</v>
      </c>
      <c r="F396" s="8">
        <f t="shared" si="25"/>
        <v>9005.69</v>
      </c>
      <c r="G396" s="9">
        <f t="shared" si="26"/>
        <v>-4.1411085081658038E-3</v>
      </c>
      <c r="H396" s="9">
        <f t="shared" si="27"/>
        <v>-6.817748202097346E-3</v>
      </c>
    </row>
    <row r="397" spans="1:8" ht="20" customHeight="1">
      <c r="A397" s="10">
        <v>46166</v>
      </c>
      <c r="B397" s="11">
        <v>4521</v>
      </c>
      <c r="C397" s="11">
        <v>75.892997741699219</v>
      </c>
      <c r="D397" s="11">
        <v>3679.929931640625</v>
      </c>
      <c r="E397" s="12">
        <f t="shared" si="24"/>
        <v>534890.79</v>
      </c>
      <c r="F397" s="12">
        <f t="shared" si="25"/>
        <v>8979.09</v>
      </c>
      <c r="G397" s="13">
        <f t="shared" si="26"/>
        <v>-2.9532961041476651E-3</v>
      </c>
      <c r="H397" s="13">
        <f t="shared" si="27"/>
        <v>-2.9536881682581083E-3</v>
      </c>
    </row>
    <row r="398" spans="1:8" ht="20" customHeight="1">
      <c r="A398" s="6">
        <v>46167</v>
      </c>
      <c r="B398" s="7">
        <v>4521</v>
      </c>
      <c r="C398" s="7">
        <v>75.892997741699219</v>
      </c>
      <c r="D398" s="7">
        <v>3632.610107421875</v>
      </c>
      <c r="E398" s="8">
        <f t="shared" si="24"/>
        <v>528012.68000000005</v>
      </c>
      <c r="F398" s="8">
        <f t="shared" si="25"/>
        <v>8863.6299999999992</v>
      </c>
      <c r="G398" s="9">
        <f t="shared" si="26"/>
        <v>-1.2858905272981024E-2</v>
      </c>
      <c r="H398" s="9">
        <f t="shared" si="27"/>
        <v>-1.2858764084111079E-2</v>
      </c>
    </row>
    <row r="399" spans="1:8" ht="20" customHeight="1">
      <c r="A399" s="10">
        <v>46168</v>
      </c>
      <c r="B399" s="11">
        <v>4500.39990234375</v>
      </c>
      <c r="C399" s="11">
        <v>76.305000305175781</v>
      </c>
      <c r="D399" s="11">
        <v>3672.18994140625</v>
      </c>
      <c r="E399" s="12">
        <f t="shared" si="24"/>
        <v>531333.63</v>
      </c>
      <c r="F399" s="12">
        <f t="shared" si="25"/>
        <v>9008.85</v>
      </c>
      <c r="G399" s="13">
        <f t="shared" si="26"/>
        <v>6.2895269863594058E-3</v>
      </c>
      <c r="H399" s="13">
        <f t="shared" si="27"/>
        <v>1.6383806634527973E-2</v>
      </c>
    </row>
    <row r="400" spans="1:8" ht="20" customHeight="1">
      <c r="A400" s="6">
        <v>46169</v>
      </c>
      <c r="B400" s="7">
        <v>4447.5</v>
      </c>
      <c r="C400" s="7">
        <v>74.5989990234375</v>
      </c>
      <c r="D400" s="7">
        <v>3635.659912109375</v>
      </c>
      <c r="E400" s="8">
        <f t="shared" si="24"/>
        <v>519864.63</v>
      </c>
      <c r="F400" s="8">
        <f t="shared" si="25"/>
        <v>8719.82</v>
      </c>
      <c r="G400" s="9">
        <f t="shared" si="26"/>
        <v>-2.1585307897789192E-2</v>
      </c>
      <c r="H400" s="9">
        <f t="shared" si="27"/>
        <v>-3.2082896263119116E-2</v>
      </c>
    </row>
    <row r="401" spans="1:8" ht="20" customHeight="1">
      <c r="A401" s="10">
        <v>46170</v>
      </c>
      <c r="B401" s="11">
        <v>4499.2998046875</v>
      </c>
      <c r="C401" s="11">
        <v>75.644996643066406</v>
      </c>
      <c r="D401" s="11">
        <v>3651.300048828125</v>
      </c>
      <c r="E401" s="12">
        <f t="shared" si="24"/>
        <v>528181.9</v>
      </c>
      <c r="F401" s="12">
        <f t="shared" si="25"/>
        <v>8880.1200000000008</v>
      </c>
      <c r="G401" s="13">
        <f t="shared" si="26"/>
        <v>1.5998914948301097E-2</v>
      </c>
      <c r="H401" s="13">
        <f t="shared" si="27"/>
        <v>1.8383406996933548E-2</v>
      </c>
    </row>
    <row r="402" spans="1:8" ht="20" customHeight="1">
      <c r="A402" s="6">
        <v>46171</v>
      </c>
      <c r="B402" s="7">
        <v>4560.5</v>
      </c>
      <c r="C402" s="7">
        <v>75.615997314453125</v>
      </c>
      <c r="D402" s="7">
        <v>3651.300048828125</v>
      </c>
      <c r="E402" s="8">
        <f t="shared" si="24"/>
        <v>535366.31999999995</v>
      </c>
      <c r="F402" s="8">
        <f t="shared" si="25"/>
        <v>8876.7099999999991</v>
      </c>
      <c r="G402" s="9">
        <f t="shared" si="26"/>
        <v>1.3602170009990734E-2</v>
      </c>
      <c r="H402" s="9">
        <f t="shared" si="27"/>
        <v>-3.8400381976838973E-4</v>
      </c>
    </row>
    <row r="403" spans="1:8" ht="20" customHeight="1">
      <c r="A403" s="10">
        <v>46173</v>
      </c>
      <c r="B403" s="11">
        <v>4560.5</v>
      </c>
      <c r="C403" s="11">
        <v>75.615997314453125</v>
      </c>
      <c r="D403" s="11">
        <v>3679.300048828125</v>
      </c>
      <c r="E403" s="12">
        <f t="shared" si="24"/>
        <v>539471.78</v>
      </c>
      <c r="F403" s="12">
        <f t="shared" si="25"/>
        <v>8944.7900000000009</v>
      </c>
      <c r="G403" s="13">
        <f t="shared" si="26"/>
        <v>7.6685063042443158E-3</v>
      </c>
      <c r="H403" s="13">
        <f t="shared" si="27"/>
        <v>7.6695081849020358E-3</v>
      </c>
    </row>
    <row r="404" spans="1:8" ht="20" customHeight="1">
      <c r="A404" s="6">
        <v>46174</v>
      </c>
      <c r="B404" s="7">
        <v>4475.2001953125</v>
      </c>
      <c r="C404" s="7">
        <v>75.007003784179688</v>
      </c>
      <c r="D404" s="7">
        <v>3565.52001953125</v>
      </c>
      <c r="E404" s="8">
        <f t="shared" si="24"/>
        <v>513010.68</v>
      </c>
      <c r="F404" s="8">
        <f t="shared" si="25"/>
        <v>8598.36</v>
      </c>
      <c r="G404" s="9">
        <f t="shared" si="26"/>
        <v>-4.9050017037035806E-2</v>
      </c>
      <c r="H404" s="9">
        <f t="shared" si="27"/>
        <v>-3.87298080782221E-2</v>
      </c>
    </row>
    <row r="405" spans="1:8" ht="20" customHeight="1">
      <c r="A405" s="10">
        <v>46175</v>
      </c>
      <c r="B405" s="11">
        <v>4489.10009765625</v>
      </c>
      <c r="C405" s="11">
        <v>75.310997009277344</v>
      </c>
      <c r="D405" s="11">
        <v>3587.260009765625</v>
      </c>
      <c r="E405" s="12">
        <f t="shared" si="24"/>
        <v>517741.77</v>
      </c>
      <c r="F405" s="12">
        <f t="shared" si="25"/>
        <v>8685.85</v>
      </c>
      <c r="G405" s="13">
        <f t="shared" si="26"/>
        <v>9.2222056663616159E-3</v>
      </c>
      <c r="H405" s="13">
        <f t="shared" si="27"/>
        <v>1.0175196200205594E-2</v>
      </c>
    </row>
    <row r="406" spans="1:8" ht="20" customHeight="1">
      <c r="A406" s="6">
        <v>46176</v>
      </c>
      <c r="B406" s="7">
        <v>4436.7001953125</v>
      </c>
      <c r="C406" s="7">
        <v>73.475997924804688</v>
      </c>
      <c r="D406" s="7">
        <v>3575.070068359375</v>
      </c>
      <c r="E406" s="8">
        <f t="shared" si="24"/>
        <v>509959.52</v>
      </c>
      <c r="F406" s="8">
        <f t="shared" si="25"/>
        <v>8445.42</v>
      </c>
      <c r="G406" s="9">
        <f t="shared" si="26"/>
        <v>-1.5031141875997371E-2</v>
      </c>
      <c r="H406" s="9">
        <f t="shared" si="27"/>
        <v>-2.7680653016112444E-2</v>
      </c>
    </row>
    <row r="407" spans="1:8" ht="20" customHeight="1">
      <c r="A407" s="10">
        <v>46177</v>
      </c>
      <c r="B407" s="11">
        <v>4475.7998046875</v>
      </c>
      <c r="C407" s="11">
        <v>73.778999328613281</v>
      </c>
      <c r="D407" s="11">
        <v>3577.669921875</v>
      </c>
      <c r="E407" s="12">
        <f t="shared" si="24"/>
        <v>514827.79</v>
      </c>
      <c r="F407" s="12">
        <f t="shared" si="25"/>
        <v>8486.41</v>
      </c>
      <c r="G407" s="13">
        <f t="shared" si="26"/>
        <v>9.5463851719053312E-3</v>
      </c>
      <c r="H407" s="13">
        <f t="shared" si="27"/>
        <v>4.8535182382877084E-3</v>
      </c>
    </row>
    <row r="408" spans="1:8" ht="20" customHeight="1">
      <c r="A408" s="6">
        <v>46178</v>
      </c>
      <c r="B408" s="7">
        <v>4337.10009765625</v>
      </c>
      <c r="C408" s="7">
        <v>68.943000793457031</v>
      </c>
      <c r="D408" s="7">
        <v>3577.669921875</v>
      </c>
      <c r="E408" s="8">
        <f t="shared" si="24"/>
        <v>498873.89</v>
      </c>
      <c r="F408" s="8">
        <f t="shared" si="25"/>
        <v>7930.15</v>
      </c>
      <c r="G408" s="9">
        <f t="shared" si="26"/>
        <v>-3.0988808898602706E-2</v>
      </c>
      <c r="H408" s="9">
        <f t="shared" si="27"/>
        <v>-6.5547151268911141E-2</v>
      </c>
    </row>
    <row r="409" spans="1:8" ht="20" customHeight="1">
      <c r="A409" s="10">
        <v>46180</v>
      </c>
      <c r="B409" s="11">
        <v>4337.10009765625</v>
      </c>
      <c r="C409" s="11">
        <v>68.943000793457031</v>
      </c>
      <c r="D409" s="11">
        <v>3604.260009765625</v>
      </c>
      <c r="E409" s="12">
        <f t="shared" si="24"/>
        <v>502581.64</v>
      </c>
      <c r="F409" s="12">
        <f t="shared" si="25"/>
        <v>7989.09</v>
      </c>
      <c r="G409" s="13">
        <f t="shared" si="26"/>
        <v>7.4322390374048234E-3</v>
      </c>
      <c r="H409" s="13">
        <f t="shared" si="27"/>
        <v>7.4323940909062896E-3</v>
      </c>
    </row>
    <row r="410" spans="1:8" ht="20" customHeight="1">
      <c r="A410" s="6">
        <v>46181</v>
      </c>
      <c r="B410" s="7">
        <v>4335.89990234375</v>
      </c>
      <c r="C410" s="7">
        <v>68.425003051757813</v>
      </c>
      <c r="D410" s="7">
        <v>3593.070068359375</v>
      </c>
      <c r="E410" s="8">
        <f t="shared" si="24"/>
        <v>500882.66</v>
      </c>
      <c r="F410" s="8">
        <f t="shared" si="25"/>
        <v>7904.45</v>
      </c>
      <c r="G410" s="9">
        <f t="shared" si="26"/>
        <v>-3.3805055035437417E-3</v>
      </c>
      <c r="H410" s="9">
        <f t="shared" si="27"/>
        <v>-1.0594448178703747E-2</v>
      </c>
    </row>
    <row r="411" spans="1:8" ht="20" customHeight="1">
      <c r="A411" s="10">
        <v>46182</v>
      </c>
      <c r="B411" s="11">
        <v>4260</v>
      </c>
      <c r="C411" s="11">
        <v>65.094001770019531</v>
      </c>
      <c r="D411" s="11">
        <v>3574.93994140625</v>
      </c>
      <c r="E411" s="12">
        <f t="shared" si="24"/>
        <v>489631.57</v>
      </c>
      <c r="F411" s="12">
        <f t="shared" si="25"/>
        <v>7481.71</v>
      </c>
      <c r="G411" s="13">
        <f t="shared" si="26"/>
        <v>-2.2462526452802275E-2</v>
      </c>
      <c r="H411" s="13">
        <f t="shared" si="27"/>
        <v>-5.3481266881313667E-2</v>
      </c>
    </row>
    <row r="412" spans="1:8" ht="20" customHeight="1">
      <c r="A412" s="6">
        <v>46183</v>
      </c>
      <c r="B412" s="7">
        <v>4108.2001953125</v>
      </c>
      <c r="C412" s="7">
        <v>64.5989990234375</v>
      </c>
      <c r="D412" s="7">
        <v>3558.669921875</v>
      </c>
      <c r="E412" s="8">
        <f t="shared" si="24"/>
        <v>470035.18</v>
      </c>
      <c r="F412" s="8">
        <f t="shared" si="25"/>
        <v>7391.02</v>
      </c>
      <c r="G412" s="9">
        <f t="shared" si="26"/>
        <v>-4.0022725658805075E-2</v>
      </c>
      <c r="H412" s="9">
        <f t="shared" si="27"/>
        <v>-1.2121560445406144E-2</v>
      </c>
    </row>
    <row r="413" spans="1:8" ht="20" customHeight="1">
      <c r="A413" s="10">
        <v>46184</v>
      </c>
      <c r="B413" s="11">
        <v>4090.300048828125</v>
      </c>
      <c r="C413" s="11">
        <v>63.884998321533203</v>
      </c>
      <c r="D413" s="11">
        <v>3500.1298828125</v>
      </c>
      <c r="E413" s="12">
        <f t="shared" si="24"/>
        <v>460288.78</v>
      </c>
      <c r="F413" s="12">
        <f t="shared" si="25"/>
        <v>7189.09</v>
      </c>
      <c r="G413" s="13">
        <f t="shared" si="26"/>
        <v>-2.0735469204666693E-2</v>
      </c>
      <c r="H413" s="13">
        <f t="shared" si="27"/>
        <v>-2.732099223111293E-2</v>
      </c>
    </row>
    <row r="414" spans="1:8" ht="20" customHeight="1">
      <c r="A414" s="6">
        <v>46185</v>
      </c>
      <c r="B414" s="7">
        <v>4215</v>
      </c>
      <c r="C414" s="7">
        <v>67.859001159667969</v>
      </c>
      <c r="D414" s="7">
        <v>3500.1298828125</v>
      </c>
      <c r="E414" s="8">
        <f t="shared" si="24"/>
        <v>474321.49</v>
      </c>
      <c r="F414" s="8">
        <f t="shared" si="25"/>
        <v>7636.29</v>
      </c>
      <c r="G414" s="9">
        <f t="shared" si="26"/>
        <v>3.0486752251488645E-2</v>
      </c>
      <c r="H414" s="9">
        <f t="shared" si="27"/>
        <v>6.2205369525211093E-2</v>
      </c>
    </row>
    <row r="415" spans="1:8" ht="20" customHeight="1">
      <c r="A415" s="10">
        <v>46187</v>
      </c>
      <c r="B415" s="11">
        <v>4215</v>
      </c>
      <c r="C415" s="11">
        <v>67.859001159667969</v>
      </c>
      <c r="D415" s="11">
        <v>3490.780029296875</v>
      </c>
      <c r="E415" s="12">
        <f t="shared" si="24"/>
        <v>473054.44</v>
      </c>
      <c r="F415" s="12">
        <f t="shared" si="25"/>
        <v>7615.9</v>
      </c>
      <c r="G415" s="13">
        <f t="shared" si="26"/>
        <v>-2.6712894665598817E-3</v>
      </c>
      <c r="H415" s="13">
        <f t="shared" si="27"/>
        <v>-2.6701447954439036E-3</v>
      </c>
    </row>
    <row r="416" spans="1:8" ht="20" customHeight="1">
      <c r="A416" s="6">
        <v>46188</v>
      </c>
      <c r="B416" s="7">
        <v>4328</v>
      </c>
      <c r="C416" s="7">
        <v>70.066001892089844</v>
      </c>
      <c r="D416" s="7">
        <v>3489.699951171875</v>
      </c>
      <c r="E416" s="8">
        <f t="shared" si="24"/>
        <v>485586.27</v>
      </c>
      <c r="F416" s="8">
        <f t="shared" si="25"/>
        <v>7861.16</v>
      </c>
      <c r="G416" s="9">
        <f t="shared" si="26"/>
        <v>2.6491306159181206E-2</v>
      </c>
      <c r="H416" s="9">
        <f t="shared" si="27"/>
        <v>3.220367914494679E-2</v>
      </c>
    </row>
    <row r="417" spans="1:8" ht="20" customHeight="1">
      <c r="A417" s="10">
        <v>46189</v>
      </c>
      <c r="B417" s="11">
        <v>4330.89990234375</v>
      </c>
      <c r="C417" s="11">
        <v>69.899002075195313</v>
      </c>
      <c r="D417" s="11">
        <v>3433.39990234375</v>
      </c>
      <c r="E417" s="12">
        <f t="shared" si="24"/>
        <v>478072.32000000001</v>
      </c>
      <c r="F417" s="12">
        <f t="shared" si="25"/>
        <v>7715.9</v>
      </c>
      <c r="G417" s="13">
        <f t="shared" si="26"/>
        <v>-1.547397540708886E-2</v>
      </c>
      <c r="H417" s="13">
        <f t="shared" si="27"/>
        <v>-1.847818896956686E-2</v>
      </c>
    </row>
    <row r="418" spans="1:8" ht="20" customHeight="1">
      <c r="A418" s="6">
        <v>46190</v>
      </c>
      <c r="B418" s="7">
        <v>4358.89990234375</v>
      </c>
      <c r="C418" s="7">
        <v>70.695999145507813</v>
      </c>
      <c r="D418" s="7">
        <v>3458.800048828125</v>
      </c>
      <c r="E418" s="8">
        <f t="shared" si="24"/>
        <v>484722.76</v>
      </c>
      <c r="F418" s="8">
        <f t="shared" si="25"/>
        <v>7861.61</v>
      </c>
      <c r="G418" s="9">
        <f t="shared" si="26"/>
        <v>1.3910949707358088E-2</v>
      </c>
      <c r="H418" s="9">
        <f t="shared" si="27"/>
        <v>1.8884381601627812E-2</v>
      </c>
    </row>
    <row r="419" spans="1:8" ht="20" customHeight="1">
      <c r="A419" s="10">
        <v>46191</v>
      </c>
      <c r="B419" s="11">
        <v>4224.10009765625</v>
      </c>
      <c r="C419" s="11">
        <v>66.254997253417969</v>
      </c>
      <c r="D419" s="11">
        <v>3444.47998046875</v>
      </c>
      <c r="E419" s="12">
        <f t="shared" si="24"/>
        <v>467787.84</v>
      </c>
      <c r="F419" s="12">
        <f t="shared" si="25"/>
        <v>7337.25</v>
      </c>
      <c r="G419" s="13">
        <f t="shared" si="26"/>
        <v>-3.4937332012220726E-2</v>
      </c>
      <c r="H419" s="13">
        <f t="shared" si="27"/>
        <v>-6.6698805969769515E-2</v>
      </c>
    </row>
    <row r="420" spans="1:8" ht="20" customHeight="1">
      <c r="A420" s="6">
        <v>46194</v>
      </c>
      <c r="B420" s="7">
        <v>4224.10009765625</v>
      </c>
      <c r="C420" s="7">
        <v>66.254997253417969</v>
      </c>
      <c r="D420" s="7">
        <v>3445.18994140625</v>
      </c>
      <c r="E420" s="8">
        <f t="shared" si="24"/>
        <v>467884.26</v>
      </c>
      <c r="F420" s="8">
        <f t="shared" si="25"/>
        <v>7338.76</v>
      </c>
      <c r="G420" s="9">
        <f t="shared" si="26"/>
        <v>2.0611908167596595E-4</v>
      </c>
      <c r="H420" s="9">
        <f t="shared" si="27"/>
        <v>2.0579917544041954E-4</v>
      </c>
    </row>
    <row r="421" spans="1:8" ht="20" customHeight="1">
      <c r="A421" s="10">
        <v>46195</v>
      </c>
      <c r="B421" s="11">
        <v>4181.89990234375</v>
      </c>
      <c r="C421" s="11">
        <v>65.527000427246094</v>
      </c>
      <c r="D421" s="11">
        <v>3443.300048828125</v>
      </c>
      <c r="E421" s="12">
        <f t="shared" si="24"/>
        <v>462955.84</v>
      </c>
      <c r="F421" s="12">
        <f t="shared" si="25"/>
        <v>7254.14</v>
      </c>
      <c r="G421" s="13">
        <f t="shared" si="26"/>
        <v>-1.0533416960852634E-2</v>
      </c>
      <c r="H421" s="13">
        <f t="shared" si="27"/>
        <v>-1.153055829595189E-2</v>
      </c>
    </row>
    <row r="422" spans="1:8" ht="20" customHeight="1">
      <c r="A422" s="6">
        <v>46196</v>
      </c>
      <c r="B422" s="7">
        <v>4129.89990234375</v>
      </c>
      <c r="C422" s="7">
        <v>62.020000457763672</v>
      </c>
      <c r="D422" s="7">
        <v>3428.93994140625</v>
      </c>
      <c r="E422" s="8">
        <f t="shared" si="24"/>
        <v>455292.47</v>
      </c>
      <c r="F422" s="8">
        <f t="shared" si="25"/>
        <v>6837.27</v>
      </c>
      <c r="G422" s="9">
        <f t="shared" si="26"/>
        <v>-1.6553133879896736E-2</v>
      </c>
      <c r="H422" s="9">
        <f t="shared" si="27"/>
        <v>-5.7466494994582389E-2</v>
      </c>
    </row>
    <row r="423" spans="1:8" ht="20" customHeight="1">
      <c r="A423" s="10">
        <v>46197</v>
      </c>
      <c r="B423" s="11">
        <v>3990.300048828125</v>
      </c>
      <c r="C423" s="11">
        <v>58.051998138427727</v>
      </c>
      <c r="D423" s="11">
        <v>3442.679931640625</v>
      </c>
      <c r="E423" s="12">
        <f t="shared" si="24"/>
        <v>441665.28000000003</v>
      </c>
      <c r="F423" s="12">
        <f t="shared" si="25"/>
        <v>6425.47</v>
      </c>
      <c r="G423" s="13">
        <f t="shared" si="26"/>
        <v>-2.9930628986681782E-2</v>
      </c>
      <c r="H423" s="13">
        <f t="shared" si="27"/>
        <v>-6.0228717017172084E-2</v>
      </c>
    </row>
    <row r="424" spans="1:8" ht="20" customHeight="1">
      <c r="A424" s="6">
        <v>46198</v>
      </c>
      <c r="B424" s="7">
        <v>4030.5</v>
      </c>
      <c r="C424" s="7">
        <v>58.347999572753913</v>
      </c>
      <c r="D424" s="7">
        <v>3445.7900390625</v>
      </c>
      <c r="E424" s="8">
        <f t="shared" si="24"/>
        <v>446517.82</v>
      </c>
      <c r="F424" s="8">
        <f t="shared" si="25"/>
        <v>6464.07</v>
      </c>
      <c r="G424" s="9">
        <f t="shared" si="26"/>
        <v>1.0986917513642863E-2</v>
      </c>
      <c r="H424" s="9">
        <f t="shared" si="27"/>
        <v>6.0073426535334311E-3</v>
      </c>
    </row>
    <row r="425" spans="1:8" ht="20" customHeight="1">
      <c r="A425" s="10">
        <v>46199</v>
      </c>
      <c r="B425" s="11">
        <v>4078.699951171875</v>
      </c>
      <c r="C425" s="11">
        <v>59.216999053955078</v>
      </c>
      <c r="D425" s="11">
        <v>3445.7900390625</v>
      </c>
      <c r="E425" s="12">
        <f t="shared" si="24"/>
        <v>451857.64</v>
      </c>
      <c r="F425" s="12">
        <f t="shared" si="25"/>
        <v>6560.34</v>
      </c>
      <c r="G425" s="13">
        <f t="shared" si="26"/>
        <v>1.1958806033765925E-2</v>
      </c>
      <c r="H425" s="13">
        <f t="shared" si="27"/>
        <v>1.489309367008718E-2</v>
      </c>
    </row>
    <row r="426" spans="1:8" ht="20" customHeight="1">
      <c r="A426" s="6">
        <v>46201</v>
      </c>
      <c r="B426" s="7">
        <v>4078.699951171875</v>
      </c>
      <c r="C426" s="7">
        <v>59.216999053955078</v>
      </c>
      <c r="D426" s="7">
        <v>3437.89990234375</v>
      </c>
      <c r="E426" s="8">
        <f t="shared" si="24"/>
        <v>450822.98</v>
      </c>
      <c r="F426" s="8">
        <f t="shared" si="25"/>
        <v>6545.32</v>
      </c>
      <c r="G426" s="9">
        <f t="shared" si="26"/>
        <v>-2.2897919796155989E-3</v>
      </c>
      <c r="H426" s="9">
        <f t="shared" si="27"/>
        <v>-2.2895154824293306E-3</v>
      </c>
    </row>
    <row r="427" spans="1:8" ht="20" customHeight="1">
      <c r="A427" s="10">
        <v>46202</v>
      </c>
      <c r="B427" s="11">
        <v>4022.300048828125</v>
      </c>
      <c r="C427" s="11">
        <v>58.174999237060547</v>
      </c>
      <c r="D427" s="11">
        <v>3443.25</v>
      </c>
      <c r="E427" s="12">
        <f t="shared" si="24"/>
        <v>445280.92</v>
      </c>
      <c r="F427" s="12">
        <f t="shared" si="25"/>
        <v>6440.15</v>
      </c>
      <c r="G427" s="13">
        <f t="shared" si="26"/>
        <v>-1.2293206526428617E-2</v>
      </c>
      <c r="H427" s="13">
        <f t="shared" si="27"/>
        <v>-1.6067969174921939E-2</v>
      </c>
    </row>
    <row r="428" spans="1:8" ht="20" customHeight="1">
      <c r="A428" s="6">
        <v>46203</v>
      </c>
      <c r="B428" s="7">
        <v>4022.89990234375</v>
      </c>
      <c r="C428" s="7">
        <v>59.477001190185547</v>
      </c>
      <c r="D428" s="7">
        <v>3429.4599609375</v>
      </c>
      <c r="E428" s="8">
        <f t="shared" si="24"/>
        <v>443563.73</v>
      </c>
      <c r="F428" s="8">
        <f t="shared" si="25"/>
        <v>6557.92</v>
      </c>
      <c r="G428" s="9">
        <f t="shared" si="26"/>
        <v>-3.856419448648288E-3</v>
      </c>
      <c r="H428" s="9">
        <f t="shared" si="27"/>
        <v>1.8286841145004454E-2</v>
      </c>
    </row>
    <row r="429" spans="1:8" ht="20" customHeight="1">
      <c r="A429" s="10">
        <v>46204</v>
      </c>
      <c r="B429" s="11">
        <v>4068.300048828125</v>
      </c>
      <c r="C429" s="11">
        <v>60.084999084472663</v>
      </c>
      <c r="D429" s="11">
        <v>3387.239990234375</v>
      </c>
      <c r="E429" s="12">
        <f t="shared" si="24"/>
        <v>443047.21</v>
      </c>
      <c r="F429" s="12">
        <f t="shared" si="25"/>
        <v>6543.39</v>
      </c>
      <c r="G429" s="13">
        <f t="shared" si="26"/>
        <v>-1.1644775374216472E-3</v>
      </c>
      <c r="H429" s="13">
        <f t="shared" si="27"/>
        <v>-2.2156415448800451E-3</v>
      </c>
    </row>
    <row r="430" spans="1:8" ht="20" customHeight="1">
      <c r="A430" s="6">
        <v>46205</v>
      </c>
      <c r="B430" s="7">
        <v>4112.7001953125</v>
      </c>
      <c r="C430" s="7">
        <v>60.643001556396477</v>
      </c>
      <c r="D430" s="7">
        <v>3366.89990234375</v>
      </c>
      <c r="E430" s="8">
        <f t="shared" si="24"/>
        <v>445192.99</v>
      </c>
      <c r="F430" s="8">
        <f t="shared" si="25"/>
        <v>6564.5</v>
      </c>
      <c r="G430" s="9">
        <f t="shared" si="26"/>
        <v>4.8432310407732163E-3</v>
      </c>
      <c r="H430" s="9">
        <f t="shared" si="27"/>
        <v>3.2261564724095112E-3</v>
      </c>
    </row>
    <row r="431" spans="1:8" ht="20" customHeight="1">
      <c r="A431" s="10">
        <v>46208</v>
      </c>
      <c r="B431" s="11">
        <v>4112.7001953125</v>
      </c>
      <c r="C431" s="11">
        <v>60.643001556396477</v>
      </c>
      <c r="D431" s="11">
        <v>3344.919921875</v>
      </c>
      <c r="E431" s="12">
        <f t="shared" si="24"/>
        <v>442286.66</v>
      </c>
      <c r="F431" s="12">
        <f t="shared" si="25"/>
        <v>6521.65</v>
      </c>
      <c r="G431" s="13">
        <f t="shared" si="26"/>
        <v>-6.528247446124469E-3</v>
      </c>
      <c r="H431" s="13">
        <f t="shared" si="27"/>
        <v>-6.5275344656867034E-3</v>
      </c>
    </row>
    <row r="432" spans="1:8" ht="20" customHeight="1">
      <c r="A432" s="6">
        <v>46209</v>
      </c>
      <c r="B432" s="7">
        <v>4155.10009765625</v>
      </c>
      <c r="C432" s="7">
        <v>61.919998168945313</v>
      </c>
      <c r="D432" s="7">
        <v>3353.22998046875</v>
      </c>
      <c r="E432" s="8">
        <f t="shared" si="24"/>
        <v>447956.55</v>
      </c>
      <c r="F432" s="8">
        <f t="shared" si="25"/>
        <v>6675.52</v>
      </c>
      <c r="G432" s="9">
        <f t="shared" si="26"/>
        <v>1.2819491322663936E-2</v>
      </c>
      <c r="H432" s="9">
        <f t="shared" si="27"/>
        <v>2.3593722447540242E-2</v>
      </c>
    </row>
    <row r="433" spans="1:8" ht="20" customHeight="1">
      <c r="A433" s="10">
        <v>46210</v>
      </c>
      <c r="B433" s="11">
        <v>4145.2998046875</v>
      </c>
      <c r="C433" s="11">
        <v>60.930999755859382</v>
      </c>
      <c r="D433" s="11">
        <v>3338.14990234375</v>
      </c>
      <c r="E433" s="12">
        <f t="shared" si="24"/>
        <v>444890.2</v>
      </c>
      <c r="F433" s="12">
        <f t="shared" si="25"/>
        <v>6539.36</v>
      </c>
      <c r="G433" s="13">
        <f t="shared" si="26"/>
        <v>-6.8451951422520262E-3</v>
      </c>
      <c r="H433" s="13">
        <f t="shared" si="27"/>
        <v>-2.0396912899669353E-2</v>
      </c>
    </row>
    <row r="434" spans="1:8" ht="20" customHeight="1">
      <c r="A434" s="6">
        <v>46211</v>
      </c>
      <c r="B434" s="7">
        <v>4070.89990234375</v>
      </c>
      <c r="C434" s="7">
        <v>58.16400146484375</v>
      </c>
      <c r="D434" s="7">
        <v>3343.110107421875</v>
      </c>
      <c r="E434" s="8">
        <f t="shared" si="24"/>
        <v>437554.51</v>
      </c>
      <c r="F434" s="8">
        <f t="shared" si="25"/>
        <v>6251.67</v>
      </c>
      <c r="G434" s="9">
        <f t="shared" si="26"/>
        <v>-1.6488765093049931E-2</v>
      </c>
      <c r="H434" s="9">
        <f t="shared" si="27"/>
        <v>-4.3993601820361564E-2</v>
      </c>
    </row>
    <row r="435" spans="1:8" ht="20" customHeight="1">
      <c r="A435" s="10">
        <v>46212</v>
      </c>
      <c r="B435" s="11">
        <v>4130.60009765625</v>
      </c>
      <c r="C435" s="11">
        <v>60.377998352050781</v>
      </c>
      <c r="D435" s="11">
        <v>3294.179931640625</v>
      </c>
      <c r="E435" s="12">
        <f t="shared" si="24"/>
        <v>437473.28000000003</v>
      </c>
      <c r="F435" s="12">
        <f t="shared" si="25"/>
        <v>6394.65</v>
      </c>
      <c r="G435" s="13">
        <f t="shared" si="26"/>
        <v>-1.8564544106740294E-4</v>
      </c>
      <c r="H435" s="13">
        <f t="shared" si="27"/>
        <v>2.287068895191198E-2</v>
      </c>
    </row>
    <row r="436" spans="1:8" ht="20" customHeight="1">
      <c r="A436" s="6">
        <v>46213</v>
      </c>
      <c r="B436" s="7">
        <v>4104.10009765625</v>
      </c>
      <c r="C436" s="7">
        <v>59.808998107910163</v>
      </c>
      <c r="D436" s="7">
        <v>3294.179931640625</v>
      </c>
      <c r="E436" s="8">
        <f t="shared" si="24"/>
        <v>434666.65</v>
      </c>
      <c r="F436" s="8">
        <f t="shared" si="25"/>
        <v>6334.39</v>
      </c>
      <c r="G436" s="9">
        <f t="shared" si="26"/>
        <v>-6.415546110610469E-3</v>
      </c>
      <c r="H436" s="9">
        <f t="shared" si="27"/>
        <v>-9.4235024590867862E-3</v>
      </c>
    </row>
    <row r="437" spans="1:8" ht="20" customHeight="1">
      <c r="A437" s="10">
        <v>46215</v>
      </c>
      <c r="B437" s="11">
        <v>4104.10009765625</v>
      </c>
      <c r="C437" s="11">
        <v>59.808998107910163</v>
      </c>
      <c r="D437" s="11">
        <v>3262.679931640625</v>
      </c>
      <c r="E437" s="12">
        <f t="shared" si="24"/>
        <v>430510.23</v>
      </c>
      <c r="F437" s="12">
        <f t="shared" si="25"/>
        <v>6273.82</v>
      </c>
      <c r="G437" s="13">
        <f t="shared" si="26"/>
        <v>-9.5623163175735746E-3</v>
      </c>
      <c r="H437" s="13">
        <f t="shared" si="27"/>
        <v>-9.5620888514917173E-3</v>
      </c>
    </row>
    <row r="438" spans="1:8" ht="20" customHeight="1">
      <c r="A438" s="6">
        <v>46216</v>
      </c>
      <c r="B438" s="7">
        <v>3997</v>
      </c>
      <c r="C438" s="7">
        <v>57.633998870849609</v>
      </c>
      <c r="D438" s="7">
        <v>3235.9599609375</v>
      </c>
      <c r="E438" s="8">
        <f t="shared" si="24"/>
        <v>415842</v>
      </c>
      <c r="F438" s="8">
        <f t="shared" si="25"/>
        <v>5996.16</v>
      </c>
      <c r="G438" s="9">
        <f t="shared" si="26"/>
        <v>-3.407173390513852E-2</v>
      </c>
      <c r="H438" s="9">
        <f t="shared" si="27"/>
        <v>-4.4256927996021544E-2</v>
      </c>
    </row>
    <row r="439" spans="1:8" ht="20" customHeight="1">
      <c r="A439" s="10">
        <v>46217</v>
      </c>
      <c r="B439" s="11">
        <v>4061.10009765625</v>
      </c>
      <c r="C439" s="11">
        <v>58.771999359130859</v>
      </c>
      <c r="D439" s="11">
        <v>3260.070068359375</v>
      </c>
      <c r="E439" s="12">
        <f t="shared" si="24"/>
        <v>425658.87</v>
      </c>
      <c r="F439" s="12">
        <f t="shared" si="25"/>
        <v>6160.11</v>
      </c>
      <c r="G439" s="13">
        <f t="shared" si="26"/>
        <v>2.3607211392788596E-2</v>
      </c>
      <c r="H439" s="13">
        <f t="shared" si="27"/>
        <v>2.7342499199487641E-2</v>
      </c>
    </row>
    <row r="440" spans="1:8" ht="20" customHeight="1">
      <c r="A440" s="6">
        <v>46218</v>
      </c>
      <c r="B440" s="7">
        <v>4044</v>
      </c>
      <c r="C440" s="7">
        <v>57.110000610351563</v>
      </c>
      <c r="D440" s="7">
        <v>3231.449951171875</v>
      </c>
      <c r="E440" s="8">
        <f t="shared" si="24"/>
        <v>420145.43</v>
      </c>
      <c r="F440" s="8">
        <f t="shared" si="25"/>
        <v>5933.36</v>
      </c>
      <c r="G440" s="9">
        <f t="shared" si="26"/>
        <v>-1.2952719627339147E-2</v>
      </c>
      <c r="H440" s="9">
        <f t="shared" si="27"/>
        <v>-3.6809407624214502E-2</v>
      </c>
    </row>
    <row r="441" spans="1:8" ht="20" customHeight="1">
      <c r="A441" s="10">
        <v>46219</v>
      </c>
      <c r="B441" s="11">
        <v>3985.60009765625</v>
      </c>
      <c r="C441" s="11">
        <v>55.897998809814453</v>
      </c>
      <c r="D441" s="11">
        <v>3239</v>
      </c>
      <c r="E441" s="12">
        <f t="shared" si="24"/>
        <v>415045.52</v>
      </c>
      <c r="F441" s="12">
        <f t="shared" si="25"/>
        <v>5821.01</v>
      </c>
      <c r="G441" s="13">
        <f t="shared" si="26"/>
        <v>-1.2138439777864475E-2</v>
      </c>
      <c r="H441" s="13">
        <f t="shared" si="27"/>
        <v>-1.8935308155918311E-2</v>
      </c>
    </row>
    <row r="442" spans="1:8" ht="20" customHeight="1">
      <c r="A442" s="6">
        <v>46220</v>
      </c>
      <c r="B442" s="7">
        <v>4012.699951171875</v>
      </c>
      <c r="C442" s="7">
        <v>56.037998199462891</v>
      </c>
      <c r="D442" s="7">
        <v>3239</v>
      </c>
      <c r="E442" s="8">
        <f t="shared" si="24"/>
        <v>417867.6</v>
      </c>
      <c r="F442" s="8">
        <f t="shared" si="25"/>
        <v>5835.59</v>
      </c>
      <c r="G442" s="9">
        <f t="shared" si="26"/>
        <v>6.799446961865672E-3</v>
      </c>
      <c r="H442" s="9">
        <f t="shared" si="27"/>
        <v>2.5047199712764498E-3</v>
      </c>
    </row>
    <row r="443" spans="1:8" ht="20" customHeight="1">
      <c r="A443" s="10">
        <v>46222</v>
      </c>
      <c r="B443" s="11">
        <v>4012.699951171875</v>
      </c>
      <c r="C443" s="11">
        <v>56.037998199462891</v>
      </c>
      <c r="D443" s="11">
        <v>3268.77001953125</v>
      </c>
      <c r="E443" s="12">
        <f t="shared" si="24"/>
        <v>421708.27</v>
      </c>
      <c r="F443" s="12">
        <f t="shared" si="25"/>
        <v>5889.22</v>
      </c>
      <c r="G443" s="13">
        <f t="shared" si="26"/>
        <v>9.1911169949525692E-3</v>
      </c>
      <c r="H443" s="13">
        <f t="shared" si="27"/>
        <v>9.1901590070584301E-3</v>
      </c>
    </row>
    <row r="444" spans="1:8" ht="20" customHeight="1">
      <c r="A444" s="6">
        <v>46223</v>
      </c>
      <c r="B444" s="7">
        <v>4010.300048828125</v>
      </c>
      <c r="C444" s="7">
        <v>56.801998138427727</v>
      </c>
      <c r="D444" s="7">
        <v>3256.070068359375</v>
      </c>
      <c r="E444" s="8">
        <f t="shared" si="24"/>
        <v>419818.6</v>
      </c>
      <c r="F444" s="8">
        <f t="shared" si="25"/>
        <v>5946.32</v>
      </c>
      <c r="G444" s="9">
        <f t="shared" si="26"/>
        <v>-4.4809887176270975E-3</v>
      </c>
      <c r="H444" s="9">
        <f t="shared" si="27"/>
        <v>9.6956812616950036E-3</v>
      </c>
    </row>
    <row r="445" spans="1:8" ht="20" customHeight="1">
      <c r="A445" s="10">
        <v>46224</v>
      </c>
      <c r="B445" s="11">
        <v>4071.10009765625</v>
      </c>
      <c r="C445" s="11">
        <v>58.834999084472663</v>
      </c>
      <c r="D445" s="11">
        <v>3227.449951171875</v>
      </c>
      <c r="E445" s="12">
        <f t="shared" si="24"/>
        <v>422437.4</v>
      </c>
      <c r="F445" s="12">
        <f t="shared" si="25"/>
        <v>6105.01</v>
      </c>
      <c r="G445" s="13">
        <f t="shared" si="26"/>
        <v>6.2379322878977888E-3</v>
      </c>
      <c r="H445" s="13">
        <f t="shared" si="27"/>
        <v>2.6687093866458671E-2</v>
      </c>
    </row>
    <row r="446" spans="1:8" ht="20" customHeight="1">
      <c r="A446" s="6">
        <v>46225</v>
      </c>
      <c r="B446" s="7">
        <v>4146.89990234375</v>
      </c>
      <c r="C446" s="7">
        <v>60.019001007080078</v>
      </c>
      <c r="D446" s="7">
        <v>3215.43994140625</v>
      </c>
      <c r="E446" s="8">
        <f t="shared" si="24"/>
        <v>428701.51</v>
      </c>
      <c r="F446" s="8">
        <f t="shared" si="25"/>
        <v>6204.69</v>
      </c>
      <c r="G446" s="9">
        <f t="shared" si="26"/>
        <v>1.4828492931733757E-2</v>
      </c>
      <c r="H446" s="9">
        <f t="shared" si="27"/>
        <v>1.6327573583007952E-2</v>
      </c>
    </row>
    <row r="447" spans="1:8" ht="20" customHeight="1">
      <c r="A447" s="10">
        <v>46226</v>
      </c>
      <c r="B447" s="11">
        <v>4046.60009765625</v>
      </c>
      <c r="C447" s="11">
        <v>57.798000335693359</v>
      </c>
      <c r="D447" s="11">
        <v>3212.64990234375</v>
      </c>
      <c r="E447" s="12">
        <f t="shared" si="24"/>
        <v>417969.65</v>
      </c>
      <c r="F447" s="12">
        <f t="shared" si="25"/>
        <v>5969.9</v>
      </c>
      <c r="G447" s="13">
        <f t="shared" si="26"/>
        <v>-2.5033408443091293E-2</v>
      </c>
      <c r="H447" s="13">
        <f t="shared" si="27"/>
        <v>-3.7840730157348713E-2</v>
      </c>
    </row>
    <row r="448" spans="1:8" ht="20" customHeight="1">
      <c r="A448" s="6">
        <v>46227</v>
      </c>
      <c r="B448" s="7">
        <v>4067.60009765625</v>
      </c>
      <c r="C448" s="7">
        <v>58.655998229980469</v>
      </c>
      <c r="D448" s="7">
        <v>3212.64990234375</v>
      </c>
      <c r="E448" s="8">
        <f t="shared" si="24"/>
        <v>420138.72</v>
      </c>
      <c r="F448" s="8">
        <f t="shared" si="25"/>
        <v>6058.52</v>
      </c>
      <c r="G448" s="9">
        <f t="shared" si="26"/>
        <v>5.1895394797204742E-3</v>
      </c>
      <c r="H448" s="9">
        <f t="shared" si="27"/>
        <v>1.4844469756612473E-2</v>
      </c>
    </row>
    <row r="449" spans="1:8" ht="20" customHeight="1">
      <c r="A449" s="10">
        <v>46229</v>
      </c>
      <c r="B449" s="11">
        <v>4067.60009765625</v>
      </c>
      <c r="C449" s="11">
        <v>58.655998229980469</v>
      </c>
      <c r="D449" s="11">
        <v>3216.909912109375</v>
      </c>
      <c r="E449" s="12">
        <f t="shared" si="24"/>
        <v>420695.83</v>
      </c>
      <c r="F449" s="12">
        <f t="shared" si="25"/>
        <v>6066.56</v>
      </c>
      <c r="G449" s="13">
        <f t="shared" si="26"/>
        <v>1.3260144173335043E-3</v>
      </c>
      <c r="H449" s="13">
        <f t="shared" si="27"/>
        <v>1.3270567729412404E-3</v>
      </c>
    </row>
    <row r="450" spans="1:8" ht="20" customHeight="1">
      <c r="A450" s="6">
        <v>46230</v>
      </c>
      <c r="B450" s="7">
        <v>4074.5</v>
      </c>
      <c r="C450" s="7">
        <v>58.472000122070313</v>
      </c>
      <c r="D450" s="7">
        <v>3204.340087890625</v>
      </c>
      <c r="E450" s="8">
        <f t="shared" ref="E450:E513" si="28">ROUND((B450/31.1034768)*D450, 2)</f>
        <v>419762.84</v>
      </c>
      <c r="F450" s="8">
        <f t="shared" ref="F450:F463" si="29">ROUND((C450/31.1034768)*D450, 2)</f>
        <v>6023.9</v>
      </c>
      <c r="G450" s="9">
        <f t="shared" si="26"/>
        <v>-2.2177305631957194E-3</v>
      </c>
      <c r="H450" s="9">
        <f t="shared" si="27"/>
        <v>-7.0319917712840163E-3</v>
      </c>
    </row>
    <row r="451" spans="1:8" ht="20" customHeight="1">
      <c r="A451" s="10">
        <v>46231</v>
      </c>
      <c r="B451" s="11">
        <v>4036.300048828125</v>
      </c>
      <c r="C451" s="11">
        <v>57.296001434326172</v>
      </c>
      <c r="D451" s="11">
        <v>3211.110107421875</v>
      </c>
      <c r="E451" s="12">
        <f t="shared" si="28"/>
        <v>416705.95</v>
      </c>
      <c r="F451" s="12">
        <f t="shared" si="29"/>
        <v>5915.22</v>
      </c>
      <c r="G451" s="13">
        <f t="shared" ref="G451:G463" si="30">IFERROR((E451-E450)/E450, 0)</f>
        <v>-7.2824216645761544E-3</v>
      </c>
      <c r="H451" s="13">
        <f t="shared" ref="H451:H463" si="31">IFERROR((F451-F450)/F450, 0)</f>
        <v>-1.804146815186165E-2</v>
      </c>
    </row>
    <row r="452" spans="1:8" ht="20" customHeight="1">
      <c r="A452" s="6">
        <v>46232</v>
      </c>
      <c r="B452" s="7">
        <v>4034.699951171875</v>
      </c>
      <c r="C452" s="7">
        <v>57.862998962402337</v>
      </c>
      <c r="D452" s="7">
        <v>3200.659912109375</v>
      </c>
      <c r="E452" s="8">
        <f t="shared" si="28"/>
        <v>415185.17</v>
      </c>
      <c r="F452" s="8">
        <f t="shared" si="29"/>
        <v>5954.31</v>
      </c>
      <c r="G452" s="9">
        <f t="shared" si="30"/>
        <v>-3.6495279225075331E-3</v>
      </c>
      <c r="H452" s="9">
        <f t="shared" si="31"/>
        <v>6.6083763579376838E-3</v>
      </c>
    </row>
    <row r="453" spans="1:8" ht="20" customHeight="1">
      <c r="A453" s="10">
        <v>46233</v>
      </c>
      <c r="B453" s="11">
        <v>4100.10009765625</v>
      </c>
      <c r="C453" s="11">
        <v>58.814998626708977</v>
      </c>
      <c r="D453" s="11">
        <v>3121.929931640625</v>
      </c>
      <c r="E453" s="12">
        <f t="shared" si="28"/>
        <v>411536.8</v>
      </c>
      <c r="F453" s="12">
        <f t="shared" si="29"/>
        <v>5903.4</v>
      </c>
      <c r="G453" s="13">
        <f t="shared" si="30"/>
        <v>-8.7873321679577225E-3</v>
      </c>
      <c r="H453" s="13">
        <f t="shared" si="31"/>
        <v>-8.5501090806492704E-3</v>
      </c>
    </row>
    <row r="454" spans="1:8" ht="20" customHeight="1">
      <c r="A454" s="6">
        <v>46234</v>
      </c>
      <c r="B454" s="7">
        <v>4049.10009765625</v>
      </c>
      <c r="C454" s="7">
        <v>57.590999603271477</v>
      </c>
      <c r="D454" s="7">
        <v>3121.929931640625</v>
      </c>
      <c r="E454" s="8">
        <f t="shared" si="28"/>
        <v>406417.81</v>
      </c>
      <c r="F454" s="8">
        <f t="shared" si="29"/>
        <v>5780.55</v>
      </c>
      <c r="G454" s="9">
        <f t="shared" si="30"/>
        <v>-1.2438717509588427E-2</v>
      </c>
      <c r="H454" s="9">
        <f t="shared" si="31"/>
        <v>-2.0810041670901423E-2</v>
      </c>
    </row>
    <row r="455" spans="1:8" ht="20" customHeight="1">
      <c r="A455" s="10">
        <v>46236</v>
      </c>
      <c r="B455" s="11">
        <v>4049.10009765625</v>
      </c>
      <c r="C455" s="11">
        <v>57.590999603271477</v>
      </c>
      <c r="D455" s="11">
        <v>3133.530029296875</v>
      </c>
      <c r="E455" s="12">
        <f t="shared" si="28"/>
        <v>407927.92</v>
      </c>
      <c r="F455" s="12">
        <f t="shared" si="29"/>
        <v>5802.02</v>
      </c>
      <c r="G455" s="13">
        <f t="shared" si="30"/>
        <v>3.7156590160258626E-3</v>
      </c>
      <c r="H455" s="13">
        <f t="shared" si="31"/>
        <v>3.7141794465924962E-3</v>
      </c>
    </row>
    <row r="456" spans="1:8" ht="20" customHeight="1">
      <c r="A456" s="6">
        <v>46237</v>
      </c>
      <c r="B456" s="7">
        <v>4033.699951171875</v>
      </c>
      <c r="C456" s="7">
        <v>57.666999816894531</v>
      </c>
      <c r="D456" s="7">
        <v>3242.1298828125</v>
      </c>
      <c r="E456" s="8">
        <f t="shared" si="28"/>
        <v>420460.36</v>
      </c>
      <c r="F456" s="8">
        <f t="shared" si="29"/>
        <v>6011.03</v>
      </c>
      <c r="G456" s="9">
        <f t="shared" si="30"/>
        <v>3.0722192293187491E-2</v>
      </c>
      <c r="H456" s="9">
        <f t="shared" si="31"/>
        <v>3.60236607250577E-2</v>
      </c>
    </row>
    <row r="457" spans="1:8" ht="20" customHeight="1">
      <c r="A457" s="10">
        <v>46238</v>
      </c>
      <c r="B457" s="11">
        <v>4095.39990234375</v>
      </c>
      <c r="C457" s="11">
        <v>60.055999755859382</v>
      </c>
      <c r="D457" s="11">
        <v>3207.4599609375</v>
      </c>
      <c r="E457" s="12">
        <f t="shared" si="28"/>
        <v>422326.78</v>
      </c>
      <c r="F457" s="12">
        <f t="shared" si="29"/>
        <v>6193.11</v>
      </c>
      <c r="G457" s="13">
        <f t="shared" si="30"/>
        <v>4.4389915853186301E-3</v>
      </c>
      <c r="H457" s="13">
        <f t="shared" si="31"/>
        <v>3.0290981745225019E-2</v>
      </c>
    </row>
    <row r="458" spans="1:8" ht="20" customHeight="1">
      <c r="A458" s="6">
        <v>46239</v>
      </c>
      <c r="B458" s="7">
        <v>4245.7998046875</v>
      </c>
      <c r="C458" s="7">
        <v>62.0989990234375</v>
      </c>
      <c r="D458" s="7">
        <v>3180.93994140625</v>
      </c>
      <c r="E458" s="8">
        <f t="shared" si="28"/>
        <v>434216.22</v>
      </c>
      <c r="F458" s="8">
        <f t="shared" si="29"/>
        <v>6350.84</v>
      </c>
      <c r="G458" s="9">
        <f t="shared" si="30"/>
        <v>2.815222847104307E-2</v>
      </c>
      <c r="H458" s="9">
        <f t="shared" si="31"/>
        <v>2.5468625617823756E-2</v>
      </c>
    </row>
    <row r="459" spans="1:8" ht="20" customHeight="1">
      <c r="A459" s="10">
        <v>46240</v>
      </c>
      <c r="B459" s="11">
        <v>4242</v>
      </c>
      <c r="C459" s="11">
        <v>61.438999176025391</v>
      </c>
      <c r="D459" s="11">
        <v>3158.610107421875</v>
      </c>
      <c r="E459" s="12">
        <f t="shared" si="28"/>
        <v>430782.2</v>
      </c>
      <c r="F459" s="12">
        <f t="shared" si="29"/>
        <v>6239.23</v>
      </c>
      <c r="G459" s="13">
        <f t="shared" si="30"/>
        <v>-7.9085484185734949E-3</v>
      </c>
      <c r="H459" s="13">
        <f t="shared" si="31"/>
        <v>-1.7574053196112733E-2</v>
      </c>
    </row>
    <row r="460" spans="1:8" ht="20" customHeight="1">
      <c r="A460" s="6">
        <v>46241</v>
      </c>
      <c r="B460" s="7">
        <v>4340.7001953125</v>
      </c>
      <c r="C460" s="7">
        <v>63.332000732421882</v>
      </c>
      <c r="D460" s="7">
        <v>3158.610107421875</v>
      </c>
      <c r="E460" s="8">
        <f t="shared" si="28"/>
        <v>440805.37</v>
      </c>
      <c r="F460" s="8">
        <f t="shared" si="29"/>
        <v>6431.47</v>
      </c>
      <c r="G460" s="9">
        <f t="shared" si="30"/>
        <v>2.326737270017188E-2</v>
      </c>
      <c r="H460" s="9">
        <f t="shared" si="31"/>
        <v>3.0811494367093489E-2</v>
      </c>
    </row>
    <row r="461" spans="1:8" ht="20" customHeight="1">
      <c r="A461" s="10">
        <v>46243</v>
      </c>
      <c r="B461" s="11">
        <v>4340.7001953125</v>
      </c>
      <c r="C461" s="11">
        <v>63.332000732421882</v>
      </c>
      <c r="D461" s="11">
        <v>3155.929931640625</v>
      </c>
      <c r="E461" s="12">
        <f t="shared" si="28"/>
        <v>440431.33</v>
      </c>
      <c r="F461" s="12">
        <f t="shared" si="29"/>
        <v>6426.01</v>
      </c>
      <c r="G461" s="13">
        <f t="shared" si="30"/>
        <v>-8.4853775715114149E-4</v>
      </c>
      <c r="H461" s="13">
        <f t="shared" si="31"/>
        <v>-8.4895055096269377E-4</v>
      </c>
    </row>
    <row r="462" spans="1:8" ht="20" customHeight="1">
      <c r="A462" s="6">
        <v>46244</v>
      </c>
      <c r="B462" s="7">
        <v>4361.7998046875</v>
      </c>
      <c r="C462" s="7">
        <v>65.106002807617188</v>
      </c>
      <c r="D462" s="7">
        <v>3155.929931640625</v>
      </c>
      <c r="E462" s="8">
        <f t="shared" si="28"/>
        <v>442572.21</v>
      </c>
      <c r="F462" s="8">
        <f t="shared" si="29"/>
        <v>6606.01</v>
      </c>
      <c r="G462" s="9">
        <f t="shared" si="30"/>
        <v>4.8608712736217122E-3</v>
      </c>
      <c r="H462" s="9">
        <f t="shared" si="31"/>
        <v>2.8011160891439634E-2</v>
      </c>
    </row>
    <row r="463" spans="1:8" ht="20" customHeight="1">
      <c r="A463" s="10">
        <v>46245</v>
      </c>
      <c r="B463" s="11">
        <v>4425.5</v>
      </c>
      <c r="C463" s="11">
        <v>64.790000915527344</v>
      </c>
      <c r="D463" s="11">
        <v>3129.39990234375</v>
      </c>
      <c r="E463" s="12">
        <f t="shared" si="28"/>
        <v>445260.81</v>
      </c>
      <c r="F463" s="12">
        <f t="shared" si="29"/>
        <v>6518.69</v>
      </c>
      <c r="G463" s="13">
        <f t="shared" si="30"/>
        <v>6.0749408554142533E-3</v>
      </c>
      <c r="H463" s="13">
        <f t="shared" si="31"/>
        <v>-1.3218266396811482E-2</v>
      </c>
    </row>
  </sheetData>
  <autoFilter ref="A1:H463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Dashboard y Gráficos</vt:lpstr>
      <vt:lpstr>Precios Diarios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Quiroga Rodriguez</cp:lastModifiedBy>
  <dcterms:created xsi:type="dcterms:W3CDTF">2026-08-11T19:22:01Z</dcterms:created>
  <dcterms:modified xsi:type="dcterms:W3CDTF">2026-08-11T19:30:43Z</dcterms:modified>
</cp:coreProperties>
</file>