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Gráficos'!$P$2:$P$495</f>
            </numRef>
          </cat>
          <val>
            <numRef>
              <f>'Dashboard y Gráficos'!$Q$2:$Q$495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Gráficos'!$P$2:$P$495</f>
            </numRef>
          </cat>
          <val>
            <numRef>
              <f>'Dashboard y Gráficos'!$R$2:$R$495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Gráficos'!$P$2:$P$495</f>
            </numRef>
          </cat>
          <val>
            <numRef>
              <f>'Dashboard y Gráficos'!$Q$2:$Q$495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Diarios'!$A$2:$A$495, $G$8 - 1 + 1 - 1), NA())</f>
        <v/>
      </c>
      <c r="Q2">
        <f>IF(1&lt;=$I$8, INDEX('Precios Diarios'!$E$2:$E$495, $G$8 - 1 + 1 - 1), NA())</f>
        <v/>
      </c>
      <c r="R2">
        <f>IF(1&lt;=$I$8, INDEX('Precios Diarios'!$F$2:$F$495,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Diarios'!$A$2:$A$495, $G$8 - 1 + 2 - 1), NA())</f>
        <v/>
      </c>
      <c r="Q3">
        <f>IF(2&lt;=$I$8, INDEX('Precios Diarios'!$E$2:$E$495, $G$8 - 1 + 2 - 1), NA())</f>
        <v/>
      </c>
      <c r="R3">
        <f>IF(2&lt;=$I$8, INDEX('Precios Diarios'!$F$2:$F$495, $G$8 - 1 + 2 - 1), NA())</f>
        <v/>
      </c>
    </row>
    <row r="4">
      <c r="A4" s="5">
        <f>'Precios Diarios'!A495</f>
        <v/>
      </c>
      <c r="B4" s="4" t="n"/>
      <c r="C4" s="4" t="n"/>
      <c r="D4" s="6">
        <f>'Precios Diarios'!E495</f>
        <v/>
      </c>
      <c r="E4" s="4" t="n"/>
      <c r="F4" s="4" t="n"/>
      <c r="G4" s="6">
        <f>'Precios Diarios'!F495</f>
        <v/>
      </c>
      <c r="H4" s="4" t="n"/>
      <c r="I4" s="4" t="n"/>
      <c r="J4" s="6">
        <f>'Precios Diarios'!D495</f>
        <v/>
      </c>
      <c r="K4" s="4" t="n"/>
      <c r="L4" s="4" t="n"/>
      <c r="M4" s="7">
        <f>'Precios Diarios'!G495</f>
        <v/>
      </c>
      <c r="N4" s="4" t="n"/>
      <c r="P4" s="2">
        <f>IF(3&lt;=$I$8, INDEX('Precios Diarios'!$A$2:$A$495, $G$8 - 1 + 3 - 1), NA())</f>
        <v/>
      </c>
      <c r="Q4">
        <f>IF(3&lt;=$I$8, INDEX('Precios Diarios'!$E$2:$E$495, $G$8 - 1 + 3 - 1), NA())</f>
        <v/>
      </c>
      <c r="R4">
        <f>IF(3&lt;=$I$8, INDEX('Precios Diarios'!$F$2:$F$495,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Diarios'!$A$2:$A$495, $G$8 - 1 + 4 - 1), NA())</f>
        <v/>
      </c>
      <c r="Q5">
        <f>IF(4&lt;=$I$8, INDEX('Precios Diarios'!$E$2:$E$495, $G$8 - 1 + 4 - 1), NA())</f>
        <v/>
      </c>
      <c r="R5">
        <f>IF(4&lt;=$I$8, INDEX('Precios Diarios'!$F$2:$F$495, $G$8 - 1 + 4 - 1), NA())</f>
        <v/>
      </c>
    </row>
    <row r="6">
      <c r="P6" s="2">
        <f>IF(5&lt;=$I$8, INDEX('Precios Diarios'!$A$2:$A$495, $G$8 - 1 + 5 - 1), NA())</f>
        <v/>
      </c>
      <c r="Q6">
        <f>IF(5&lt;=$I$8, INDEX('Precios Diarios'!$E$2:$E$495, $G$8 - 1 + 5 - 1), NA())</f>
        <v/>
      </c>
      <c r="R6">
        <f>IF(5&lt;=$I$8, INDEX('Precios Diarios'!$F$2:$F$495,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Diarios'!$A$2:$A$495, $G$8 - 1 + 6 - 1), NA())</f>
        <v/>
      </c>
      <c r="Q7">
        <f>IF(6&lt;=$I$8, INDEX('Precios Diarios'!$E$2:$E$495, $G$8 - 1 + 6 - 1), NA())</f>
        <v/>
      </c>
      <c r="R7">
        <f>IF(6&lt;=$I$8, INDEX('Precios Diarios'!$F$2:$F$495,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Diarios'!$A$2:$A$495, 1), 1) + 1</f>
        <v/>
      </c>
      <c r="H8" s="11">
        <f>IFERROR(MATCH(F8, 'Precios Diarios'!$A$2:$A$495, 1), 494) + 1</f>
        <v/>
      </c>
      <c r="I8" s="11">
        <f>MAX(1, H8 - G8 + 1)</f>
        <v/>
      </c>
      <c r="P8" s="2">
        <f>IF(7&lt;=$I$8, INDEX('Precios Diarios'!$A$2:$A$495, $G$8 - 1 + 7 - 1), NA())</f>
        <v/>
      </c>
      <c r="Q8">
        <f>IF(7&lt;=$I$8, INDEX('Precios Diarios'!$E$2:$E$495, $G$8 - 1 + 7 - 1), NA())</f>
        <v/>
      </c>
      <c r="R8">
        <f>IF(7&lt;=$I$8, INDEX('Precios Diarios'!$F$2:$F$495,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Diarios'!$A$2:$A$495, $G$8 - 1 + 8 - 1), NA())</f>
        <v/>
      </c>
      <c r="Q9">
        <f>IF(8&lt;=$I$8, INDEX('Precios Diarios'!$E$2:$E$495, $G$8 - 1 + 8 - 1), NA())</f>
        <v/>
      </c>
      <c r="R9">
        <f>IF(8&lt;=$I$8, INDEX('Precios Diarios'!$F$2:$F$495, $G$8 - 1 + 8 - 1), NA())</f>
        <v/>
      </c>
    </row>
    <row r="10">
      <c r="P10" s="2">
        <f>IF(9&lt;=$I$8, INDEX('Precios Diarios'!$A$2:$A$495, $G$8 - 1 + 9 - 1), NA())</f>
        <v/>
      </c>
      <c r="Q10">
        <f>IF(9&lt;=$I$8, INDEX('Precios Diarios'!$E$2:$E$495, $G$8 - 1 + 9 - 1), NA())</f>
        <v/>
      </c>
      <c r="R10">
        <f>IF(9&lt;=$I$8, INDEX('Precios Diarios'!$F$2:$F$495, $G$8 - 1 + 9 - 1), NA())</f>
        <v/>
      </c>
    </row>
    <row r="11">
      <c r="P11" s="2">
        <f>IF(10&lt;=$I$8, INDEX('Precios Diarios'!$A$2:$A$495, $G$8 - 1 + 10 - 1), NA())</f>
        <v/>
      </c>
      <c r="Q11">
        <f>IF(10&lt;=$I$8, INDEX('Precios Diarios'!$E$2:$E$495, $G$8 - 1 + 10 - 1), NA())</f>
        <v/>
      </c>
      <c r="R11">
        <f>IF(10&lt;=$I$8, INDEX('Precios Diarios'!$F$2:$F$495, $G$8 - 1 + 10 - 1), NA())</f>
        <v/>
      </c>
    </row>
    <row r="12">
      <c r="P12" s="2">
        <f>IF(11&lt;=$I$8, INDEX('Precios Diarios'!$A$2:$A$495, $G$8 - 1 + 11 - 1), NA())</f>
        <v/>
      </c>
      <c r="Q12">
        <f>IF(11&lt;=$I$8, INDEX('Precios Diarios'!$E$2:$E$495, $G$8 - 1 + 11 - 1), NA())</f>
        <v/>
      </c>
      <c r="R12">
        <f>IF(11&lt;=$I$8, INDEX('Precios Diarios'!$F$2:$F$495, $G$8 - 1 + 11 - 1), NA())</f>
        <v/>
      </c>
    </row>
    <row r="13">
      <c r="P13" s="2">
        <f>IF(12&lt;=$I$8, INDEX('Precios Diarios'!$A$2:$A$495, $G$8 - 1 + 12 - 1), NA())</f>
        <v/>
      </c>
      <c r="Q13">
        <f>IF(12&lt;=$I$8, INDEX('Precios Diarios'!$E$2:$E$495, $G$8 - 1 + 12 - 1), NA())</f>
        <v/>
      </c>
      <c r="R13">
        <f>IF(12&lt;=$I$8, INDEX('Precios Diarios'!$F$2:$F$495, $G$8 - 1 + 12 - 1), NA())</f>
        <v/>
      </c>
    </row>
    <row r="14">
      <c r="P14" s="2">
        <f>IF(13&lt;=$I$8, INDEX('Precios Diarios'!$A$2:$A$495, $G$8 - 1 + 13 - 1), NA())</f>
        <v/>
      </c>
      <c r="Q14">
        <f>IF(13&lt;=$I$8, INDEX('Precios Diarios'!$E$2:$E$495, $G$8 - 1 + 13 - 1), NA())</f>
        <v/>
      </c>
      <c r="R14">
        <f>IF(13&lt;=$I$8, INDEX('Precios Diarios'!$F$2:$F$495, $G$8 - 1 + 13 - 1), NA())</f>
        <v/>
      </c>
    </row>
    <row r="15">
      <c r="P15" s="2">
        <f>IF(14&lt;=$I$8, INDEX('Precios Diarios'!$A$2:$A$495, $G$8 - 1 + 14 - 1), NA())</f>
        <v/>
      </c>
      <c r="Q15">
        <f>IF(14&lt;=$I$8, INDEX('Precios Diarios'!$E$2:$E$495, $G$8 - 1 + 14 - 1), NA())</f>
        <v/>
      </c>
      <c r="R15">
        <f>IF(14&lt;=$I$8, INDEX('Precios Diarios'!$F$2:$F$495, $G$8 - 1 + 14 - 1), NA())</f>
        <v/>
      </c>
    </row>
    <row r="16">
      <c r="P16" s="2">
        <f>IF(15&lt;=$I$8, INDEX('Precios Diarios'!$A$2:$A$495, $G$8 - 1 + 15 - 1), NA())</f>
        <v/>
      </c>
      <c r="Q16">
        <f>IF(15&lt;=$I$8, INDEX('Precios Diarios'!$E$2:$E$495, $G$8 - 1 + 15 - 1), NA())</f>
        <v/>
      </c>
      <c r="R16">
        <f>IF(15&lt;=$I$8, INDEX('Precios Diarios'!$F$2:$F$495, $G$8 - 1 + 15 - 1), NA())</f>
        <v/>
      </c>
    </row>
    <row r="17">
      <c r="P17" s="2">
        <f>IF(16&lt;=$I$8, INDEX('Precios Diarios'!$A$2:$A$495, $G$8 - 1 + 16 - 1), NA())</f>
        <v/>
      </c>
      <c r="Q17">
        <f>IF(16&lt;=$I$8, INDEX('Precios Diarios'!$E$2:$E$495, $G$8 - 1 + 16 - 1), NA())</f>
        <v/>
      </c>
      <c r="R17">
        <f>IF(16&lt;=$I$8, INDEX('Precios Diarios'!$F$2:$F$495, $G$8 - 1 + 16 - 1), NA())</f>
        <v/>
      </c>
    </row>
    <row r="18">
      <c r="P18" s="2">
        <f>IF(17&lt;=$I$8, INDEX('Precios Diarios'!$A$2:$A$495, $G$8 - 1 + 17 - 1), NA())</f>
        <v/>
      </c>
      <c r="Q18">
        <f>IF(17&lt;=$I$8, INDEX('Precios Diarios'!$E$2:$E$495, $G$8 - 1 + 17 - 1), NA())</f>
        <v/>
      </c>
      <c r="R18">
        <f>IF(17&lt;=$I$8, INDEX('Precios Diarios'!$F$2:$F$495, $G$8 - 1 + 17 - 1), NA())</f>
        <v/>
      </c>
    </row>
    <row r="19">
      <c r="P19" s="2">
        <f>IF(18&lt;=$I$8, INDEX('Precios Diarios'!$A$2:$A$495, $G$8 - 1 + 18 - 1), NA())</f>
        <v/>
      </c>
      <c r="Q19">
        <f>IF(18&lt;=$I$8, INDEX('Precios Diarios'!$E$2:$E$495, $G$8 - 1 + 18 - 1), NA())</f>
        <v/>
      </c>
      <c r="R19">
        <f>IF(18&lt;=$I$8, INDEX('Precios Diarios'!$F$2:$F$495, $G$8 - 1 + 18 - 1), NA())</f>
        <v/>
      </c>
    </row>
    <row r="20">
      <c r="P20" s="2">
        <f>IF(19&lt;=$I$8, INDEX('Precios Diarios'!$A$2:$A$495, $G$8 - 1 + 19 - 1), NA())</f>
        <v/>
      </c>
      <c r="Q20">
        <f>IF(19&lt;=$I$8, INDEX('Precios Diarios'!$E$2:$E$495, $G$8 - 1 + 19 - 1), NA())</f>
        <v/>
      </c>
      <c r="R20">
        <f>IF(19&lt;=$I$8, INDEX('Precios Diarios'!$F$2:$F$495, $G$8 - 1 + 19 - 1), NA())</f>
        <v/>
      </c>
    </row>
    <row r="21">
      <c r="P21" s="2">
        <f>IF(20&lt;=$I$8, INDEX('Precios Diarios'!$A$2:$A$495, $G$8 - 1 + 20 - 1), NA())</f>
        <v/>
      </c>
      <c r="Q21">
        <f>IF(20&lt;=$I$8, INDEX('Precios Diarios'!$E$2:$E$495, $G$8 - 1 + 20 - 1), NA())</f>
        <v/>
      </c>
      <c r="R21">
        <f>IF(20&lt;=$I$8, INDEX('Precios Diarios'!$F$2:$F$495, $G$8 - 1 + 20 - 1), NA())</f>
        <v/>
      </c>
    </row>
    <row r="22">
      <c r="P22" s="2">
        <f>IF(21&lt;=$I$8, INDEX('Precios Diarios'!$A$2:$A$495, $G$8 - 1 + 21 - 1), NA())</f>
        <v/>
      </c>
      <c r="Q22">
        <f>IF(21&lt;=$I$8, INDEX('Precios Diarios'!$E$2:$E$495, $G$8 - 1 + 21 - 1), NA())</f>
        <v/>
      </c>
      <c r="R22">
        <f>IF(21&lt;=$I$8, INDEX('Precios Diarios'!$F$2:$F$495, $G$8 - 1 + 21 - 1), NA())</f>
        <v/>
      </c>
    </row>
    <row r="23">
      <c r="P23" s="2">
        <f>IF(22&lt;=$I$8, INDEX('Precios Diarios'!$A$2:$A$495, $G$8 - 1 + 22 - 1), NA())</f>
        <v/>
      </c>
      <c r="Q23">
        <f>IF(22&lt;=$I$8, INDEX('Precios Diarios'!$E$2:$E$495, $G$8 - 1 + 22 - 1), NA())</f>
        <v/>
      </c>
      <c r="R23">
        <f>IF(22&lt;=$I$8, INDEX('Precios Diarios'!$F$2:$F$495, $G$8 - 1 + 22 - 1), NA())</f>
        <v/>
      </c>
    </row>
    <row r="24">
      <c r="P24" s="2">
        <f>IF(23&lt;=$I$8, INDEX('Precios Diarios'!$A$2:$A$495, $G$8 - 1 + 23 - 1), NA())</f>
        <v/>
      </c>
      <c r="Q24">
        <f>IF(23&lt;=$I$8, INDEX('Precios Diarios'!$E$2:$E$495, $G$8 - 1 + 23 - 1), NA())</f>
        <v/>
      </c>
      <c r="R24">
        <f>IF(23&lt;=$I$8, INDEX('Precios Diarios'!$F$2:$F$495, $G$8 - 1 + 23 - 1), NA())</f>
        <v/>
      </c>
    </row>
    <row r="25">
      <c r="P25" s="2">
        <f>IF(24&lt;=$I$8, INDEX('Precios Diarios'!$A$2:$A$495, $G$8 - 1 + 24 - 1), NA())</f>
        <v/>
      </c>
      <c r="Q25">
        <f>IF(24&lt;=$I$8, INDEX('Precios Diarios'!$E$2:$E$495, $G$8 - 1 + 24 - 1), NA())</f>
        <v/>
      </c>
      <c r="R25">
        <f>IF(24&lt;=$I$8, INDEX('Precios Diarios'!$F$2:$F$495, $G$8 - 1 + 24 - 1), NA())</f>
        <v/>
      </c>
    </row>
    <row r="26">
      <c r="P26" s="2">
        <f>IF(25&lt;=$I$8, INDEX('Precios Diarios'!$A$2:$A$495, $G$8 - 1 + 25 - 1), NA())</f>
        <v/>
      </c>
      <c r="Q26">
        <f>IF(25&lt;=$I$8, INDEX('Precios Diarios'!$E$2:$E$495, $G$8 - 1 + 25 - 1), NA())</f>
        <v/>
      </c>
      <c r="R26">
        <f>IF(25&lt;=$I$8, INDEX('Precios Diarios'!$F$2:$F$495, $G$8 - 1 + 25 - 1), NA())</f>
        <v/>
      </c>
    </row>
    <row r="27">
      <c r="P27" s="2">
        <f>IF(26&lt;=$I$8, INDEX('Precios Diarios'!$A$2:$A$495, $G$8 - 1 + 26 - 1), NA())</f>
        <v/>
      </c>
      <c r="Q27">
        <f>IF(26&lt;=$I$8, INDEX('Precios Diarios'!$E$2:$E$495, $G$8 - 1 + 26 - 1), NA())</f>
        <v/>
      </c>
      <c r="R27">
        <f>IF(26&lt;=$I$8, INDEX('Precios Diarios'!$F$2:$F$495, $G$8 - 1 + 26 - 1), NA())</f>
        <v/>
      </c>
    </row>
    <row r="28">
      <c r="P28" s="2">
        <f>IF(27&lt;=$I$8, INDEX('Precios Diarios'!$A$2:$A$495, $G$8 - 1 + 27 - 1), NA())</f>
        <v/>
      </c>
      <c r="Q28">
        <f>IF(27&lt;=$I$8, INDEX('Precios Diarios'!$E$2:$E$495, $G$8 - 1 + 27 - 1), NA())</f>
        <v/>
      </c>
      <c r="R28">
        <f>IF(27&lt;=$I$8, INDEX('Precios Diarios'!$F$2:$F$495, $G$8 - 1 + 27 - 1), NA())</f>
        <v/>
      </c>
    </row>
    <row r="29">
      <c r="P29" s="2">
        <f>IF(28&lt;=$I$8, INDEX('Precios Diarios'!$A$2:$A$495, $G$8 - 1 + 28 - 1), NA())</f>
        <v/>
      </c>
      <c r="Q29">
        <f>IF(28&lt;=$I$8, INDEX('Precios Diarios'!$E$2:$E$495, $G$8 - 1 + 28 - 1), NA())</f>
        <v/>
      </c>
      <c r="R29">
        <f>IF(28&lt;=$I$8, INDEX('Precios Diarios'!$F$2:$F$495, $G$8 - 1 + 28 - 1), NA())</f>
        <v/>
      </c>
    </row>
    <row r="30">
      <c r="P30" s="2">
        <f>IF(29&lt;=$I$8, INDEX('Precios Diarios'!$A$2:$A$495, $G$8 - 1 + 29 - 1), NA())</f>
        <v/>
      </c>
      <c r="Q30">
        <f>IF(29&lt;=$I$8, INDEX('Precios Diarios'!$E$2:$E$495, $G$8 - 1 + 29 - 1), NA())</f>
        <v/>
      </c>
      <c r="R30">
        <f>IF(29&lt;=$I$8, INDEX('Precios Diarios'!$F$2:$F$495, $G$8 - 1 + 29 - 1), NA())</f>
        <v/>
      </c>
    </row>
    <row r="31">
      <c r="P31" s="2">
        <f>IF(30&lt;=$I$8, INDEX('Precios Diarios'!$A$2:$A$495, $G$8 - 1 + 30 - 1), NA())</f>
        <v/>
      </c>
      <c r="Q31">
        <f>IF(30&lt;=$I$8, INDEX('Precios Diarios'!$E$2:$E$495, $G$8 - 1 + 30 - 1), NA())</f>
        <v/>
      </c>
      <c r="R31">
        <f>IF(30&lt;=$I$8, INDEX('Precios Diarios'!$F$2:$F$495, $G$8 - 1 + 30 - 1), NA())</f>
        <v/>
      </c>
    </row>
    <row r="32">
      <c r="P32" s="2">
        <f>IF(31&lt;=$I$8, INDEX('Precios Diarios'!$A$2:$A$495, $G$8 - 1 + 31 - 1), NA())</f>
        <v/>
      </c>
      <c r="Q32">
        <f>IF(31&lt;=$I$8, INDEX('Precios Diarios'!$E$2:$E$495, $G$8 - 1 + 31 - 1), NA())</f>
        <v/>
      </c>
      <c r="R32">
        <f>IF(31&lt;=$I$8, INDEX('Precios Diarios'!$F$2:$F$495, $G$8 - 1 + 31 - 1), NA())</f>
        <v/>
      </c>
    </row>
    <row r="33">
      <c r="P33" s="2">
        <f>IF(32&lt;=$I$8, INDEX('Precios Diarios'!$A$2:$A$495, $G$8 - 1 + 32 - 1), NA())</f>
        <v/>
      </c>
      <c r="Q33">
        <f>IF(32&lt;=$I$8, INDEX('Precios Diarios'!$E$2:$E$495, $G$8 - 1 + 32 - 1), NA())</f>
        <v/>
      </c>
      <c r="R33">
        <f>IF(32&lt;=$I$8, INDEX('Precios Diarios'!$F$2:$F$495, $G$8 - 1 + 32 - 1), NA())</f>
        <v/>
      </c>
    </row>
    <row r="34">
      <c r="P34" s="2">
        <f>IF(33&lt;=$I$8, INDEX('Precios Diarios'!$A$2:$A$495, $G$8 - 1 + 33 - 1), NA())</f>
        <v/>
      </c>
      <c r="Q34">
        <f>IF(33&lt;=$I$8, INDEX('Precios Diarios'!$E$2:$E$495, $G$8 - 1 + 33 - 1), NA())</f>
        <v/>
      </c>
      <c r="R34">
        <f>IF(33&lt;=$I$8, INDEX('Precios Diarios'!$F$2:$F$495, $G$8 - 1 + 33 - 1), NA())</f>
        <v/>
      </c>
    </row>
    <row r="35">
      <c r="P35" s="2">
        <f>IF(34&lt;=$I$8, INDEX('Precios Diarios'!$A$2:$A$495, $G$8 - 1 + 34 - 1), NA())</f>
        <v/>
      </c>
      <c r="Q35">
        <f>IF(34&lt;=$I$8, INDEX('Precios Diarios'!$E$2:$E$495, $G$8 - 1 + 34 - 1), NA())</f>
        <v/>
      </c>
      <c r="R35">
        <f>IF(34&lt;=$I$8, INDEX('Precios Diarios'!$F$2:$F$495, $G$8 - 1 + 34 - 1), NA())</f>
        <v/>
      </c>
    </row>
    <row r="36">
      <c r="P36" s="2">
        <f>IF(35&lt;=$I$8, INDEX('Precios Diarios'!$A$2:$A$495, $G$8 - 1 + 35 - 1), NA())</f>
        <v/>
      </c>
      <c r="Q36">
        <f>IF(35&lt;=$I$8, INDEX('Precios Diarios'!$E$2:$E$495, $G$8 - 1 + 35 - 1), NA())</f>
        <v/>
      </c>
      <c r="R36">
        <f>IF(35&lt;=$I$8, INDEX('Precios Diarios'!$F$2:$F$495, $G$8 - 1 + 35 - 1), NA())</f>
        <v/>
      </c>
    </row>
    <row r="37">
      <c r="P37" s="2">
        <f>IF(36&lt;=$I$8, INDEX('Precios Diarios'!$A$2:$A$495, $G$8 - 1 + 36 - 1), NA())</f>
        <v/>
      </c>
      <c r="Q37">
        <f>IF(36&lt;=$I$8, INDEX('Precios Diarios'!$E$2:$E$495, $G$8 - 1 + 36 - 1), NA())</f>
        <v/>
      </c>
      <c r="R37">
        <f>IF(36&lt;=$I$8, INDEX('Precios Diarios'!$F$2:$F$495, $G$8 - 1 + 36 - 1), NA())</f>
        <v/>
      </c>
    </row>
    <row r="38">
      <c r="P38" s="2">
        <f>IF(37&lt;=$I$8, INDEX('Precios Diarios'!$A$2:$A$495, $G$8 - 1 + 37 - 1), NA())</f>
        <v/>
      </c>
      <c r="Q38">
        <f>IF(37&lt;=$I$8, INDEX('Precios Diarios'!$E$2:$E$495, $G$8 - 1 + 37 - 1), NA())</f>
        <v/>
      </c>
      <c r="R38">
        <f>IF(37&lt;=$I$8, INDEX('Precios Diarios'!$F$2:$F$495, $G$8 - 1 + 37 - 1), NA())</f>
        <v/>
      </c>
    </row>
    <row r="39">
      <c r="P39" s="2">
        <f>IF(38&lt;=$I$8, INDEX('Precios Diarios'!$A$2:$A$495, $G$8 - 1 + 38 - 1), NA())</f>
        <v/>
      </c>
      <c r="Q39">
        <f>IF(38&lt;=$I$8, INDEX('Precios Diarios'!$E$2:$E$495, $G$8 - 1 + 38 - 1), NA())</f>
        <v/>
      </c>
      <c r="R39">
        <f>IF(38&lt;=$I$8, INDEX('Precios Diarios'!$F$2:$F$495, $G$8 - 1 + 38 - 1), NA())</f>
        <v/>
      </c>
    </row>
    <row r="40">
      <c r="P40" s="2">
        <f>IF(39&lt;=$I$8, INDEX('Precios Diarios'!$A$2:$A$495, $G$8 - 1 + 39 - 1), NA())</f>
        <v/>
      </c>
      <c r="Q40">
        <f>IF(39&lt;=$I$8, INDEX('Precios Diarios'!$E$2:$E$495, $G$8 - 1 + 39 - 1), NA())</f>
        <v/>
      </c>
      <c r="R40">
        <f>IF(39&lt;=$I$8, INDEX('Precios Diarios'!$F$2:$F$495, $G$8 - 1 + 39 - 1), NA())</f>
        <v/>
      </c>
    </row>
    <row r="41">
      <c r="P41" s="2">
        <f>IF(40&lt;=$I$8, INDEX('Precios Diarios'!$A$2:$A$495, $G$8 - 1 + 40 - 1), NA())</f>
        <v/>
      </c>
      <c r="Q41">
        <f>IF(40&lt;=$I$8, INDEX('Precios Diarios'!$E$2:$E$495, $G$8 - 1 + 40 - 1), NA())</f>
        <v/>
      </c>
      <c r="R41">
        <f>IF(40&lt;=$I$8, INDEX('Precios Diarios'!$F$2:$F$495, $G$8 - 1 + 40 - 1), NA())</f>
        <v/>
      </c>
    </row>
    <row r="42">
      <c r="P42" s="2">
        <f>IF(41&lt;=$I$8, INDEX('Precios Diarios'!$A$2:$A$495, $G$8 - 1 + 41 - 1), NA())</f>
        <v/>
      </c>
      <c r="Q42">
        <f>IF(41&lt;=$I$8, INDEX('Precios Diarios'!$E$2:$E$495, $G$8 - 1 + 41 - 1), NA())</f>
        <v/>
      </c>
      <c r="R42">
        <f>IF(41&lt;=$I$8, INDEX('Precios Diarios'!$F$2:$F$495, $G$8 - 1 + 41 - 1), NA())</f>
        <v/>
      </c>
    </row>
    <row r="43">
      <c r="P43" s="2">
        <f>IF(42&lt;=$I$8, INDEX('Precios Diarios'!$A$2:$A$495, $G$8 - 1 + 42 - 1), NA())</f>
        <v/>
      </c>
      <c r="Q43">
        <f>IF(42&lt;=$I$8, INDEX('Precios Diarios'!$E$2:$E$495, $G$8 - 1 + 42 - 1), NA())</f>
        <v/>
      </c>
      <c r="R43">
        <f>IF(42&lt;=$I$8, INDEX('Precios Diarios'!$F$2:$F$495, $G$8 - 1 + 42 - 1), NA())</f>
        <v/>
      </c>
    </row>
    <row r="44">
      <c r="P44" s="2">
        <f>IF(43&lt;=$I$8, INDEX('Precios Diarios'!$A$2:$A$495, $G$8 - 1 + 43 - 1), NA())</f>
        <v/>
      </c>
      <c r="Q44">
        <f>IF(43&lt;=$I$8, INDEX('Precios Diarios'!$E$2:$E$495, $G$8 - 1 + 43 - 1), NA())</f>
        <v/>
      </c>
      <c r="R44">
        <f>IF(43&lt;=$I$8, INDEX('Precios Diarios'!$F$2:$F$495, $G$8 - 1 + 43 - 1), NA())</f>
        <v/>
      </c>
    </row>
    <row r="45">
      <c r="P45" s="2">
        <f>IF(44&lt;=$I$8, INDEX('Precios Diarios'!$A$2:$A$495, $G$8 - 1 + 44 - 1), NA())</f>
        <v/>
      </c>
      <c r="Q45">
        <f>IF(44&lt;=$I$8, INDEX('Precios Diarios'!$E$2:$E$495, $G$8 - 1 + 44 - 1), NA())</f>
        <v/>
      </c>
      <c r="R45">
        <f>IF(44&lt;=$I$8, INDEX('Precios Diarios'!$F$2:$F$495, $G$8 - 1 + 44 - 1), NA())</f>
        <v/>
      </c>
    </row>
    <row r="46">
      <c r="P46" s="2">
        <f>IF(45&lt;=$I$8, INDEX('Precios Diarios'!$A$2:$A$495, $G$8 - 1 + 45 - 1), NA())</f>
        <v/>
      </c>
      <c r="Q46">
        <f>IF(45&lt;=$I$8, INDEX('Precios Diarios'!$E$2:$E$495, $G$8 - 1 + 45 - 1), NA())</f>
        <v/>
      </c>
      <c r="R46">
        <f>IF(45&lt;=$I$8, INDEX('Precios Diarios'!$F$2:$F$495, $G$8 - 1 + 45 - 1), NA())</f>
        <v/>
      </c>
    </row>
    <row r="47">
      <c r="P47" s="2">
        <f>IF(46&lt;=$I$8, INDEX('Precios Diarios'!$A$2:$A$495, $G$8 - 1 + 46 - 1), NA())</f>
        <v/>
      </c>
      <c r="Q47">
        <f>IF(46&lt;=$I$8, INDEX('Precios Diarios'!$E$2:$E$495, $G$8 - 1 + 46 - 1), NA())</f>
        <v/>
      </c>
      <c r="R47">
        <f>IF(46&lt;=$I$8, INDEX('Precios Diarios'!$F$2:$F$495, $G$8 - 1 + 46 - 1), NA())</f>
        <v/>
      </c>
    </row>
    <row r="48">
      <c r="P48" s="2">
        <f>IF(47&lt;=$I$8, INDEX('Precios Diarios'!$A$2:$A$495, $G$8 - 1 + 47 - 1), NA())</f>
        <v/>
      </c>
      <c r="Q48">
        <f>IF(47&lt;=$I$8, INDEX('Precios Diarios'!$E$2:$E$495, $G$8 - 1 + 47 - 1), NA())</f>
        <v/>
      </c>
      <c r="R48">
        <f>IF(47&lt;=$I$8, INDEX('Precios Diarios'!$F$2:$F$495, $G$8 - 1 + 47 - 1), NA())</f>
        <v/>
      </c>
    </row>
    <row r="49">
      <c r="P49" s="2">
        <f>IF(48&lt;=$I$8, INDEX('Precios Diarios'!$A$2:$A$495, $G$8 - 1 + 48 - 1), NA())</f>
        <v/>
      </c>
      <c r="Q49">
        <f>IF(48&lt;=$I$8, INDEX('Precios Diarios'!$E$2:$E$495, $G$8 - 1 + 48 - 1), NA())</f>
        <v/>
      </c>
      <c r="R49">
        <f>IF(48&lt;=$I$8, INDEX('Precios Diarios'!$F$2:$F$495, $G$8 - 1 + 48 - 1), NA())</f>
        <v/>
      </c>
    </row>
    <row r="50">
      <c r="P50" s="2">
        <f>IF(49&lt;=$I$8, INDEX('Precios Diarios'!$A$2:$A$495, $G$8 - 1 + 49 - 1), NA())</f>
        <v/>
      </c>
      <c r="Q50">
        <f>IF(49&lt;=$I$8, INDEX('Precios Diarios'!$E$2:$E$495, $G$8 - 1 + 49 - 1), NA())</f>
        <v/>
      </c>
      <c r="R50">
        <f>IF(49&lt;=$I$8, INDEX('Precios Diarios'!$F$2:$F$495, $G$8 - 1 + 49 - 1), NA())</f>
        <v/>
      </c>
    </row>
    <row r="51">
      <c r="P51" s="2">
        <f>IF(50&lt;=$I$8, INDEX('Precios Diarios'!$A$2:$A$495, $G$8 - 1 + 50 - 1), NA())</f>
        <v/>
      </c>
      <c r="Q51">
        <f>IF(50&lt;=$I$8, INDEX('Precios Diarios'!$E$2:$E$495, $G$8 - 1 + 50 - 1), NA())</f>
        <v/>
      </c>
      <c r="R51">
        <f>IF(50&lt;=$I$8, INDEX('Precios Diarios'!$F$2:$F$495, $G$8 - 1 + 50 - 1), NA())</f>
        <v/>
      </c>
    </row>
    <row r="52">
      <c r="P52" s="2">
        <f>IF(51&lt;=$I$8, INDEX('Precios Diarios'!$A$2:$A$495, $G$8 - 1 + 51 - 1), NA())</f>
        <v/>
      </c>
      <c r="Q52">
        <f>IF(51&lt;=$I$8, INDEX('Precios Diarios'!$E$2:$E$495, $G$8 - 1 + 51 - 1), NA())</f>
        <v/>
      </c>
      <c r="R52">
        <f>IF(51&lt;=$I$8, INDEX('Precios Diarios'!$F$2:$F$495, $G$8 - 1 + 51 - 1), NA())</f>
        <v/>
      </c>
    </row>
    <row r="53">
      <c r="P53" s="2">
        <f>IF(52&lt;=$I$8, INDEX('Precios Diarios'!$A$2:$A$495, $G$8 - 1 + 52 - 1), NA())</f>
        <v/>
      </c>
      <c r="Q53">
        <f>IF(52&lt;=$I$8, INDEX('Precios Diarios'!$E$2:$E$495, $G$8 - 1 + 52 - 1), NA())</f>
        <v/>
      </c>
      <c r="R53">
        <f>IF(52&lt;=$I$8, INDEX('Precios Diarios'!$F$2:$F$495, $G$8 - 1 + 52 - 1), NA())</f>
        <v/>
      </c>
    </row>
    <row r="54">
      <c r="P54" s="2">
        <f>IF(53&lt;=$I$8, INDEX('Precios Diarios'!$A$2:$A$495, $G$8 - 1 + 53 - 1), NA())</f>
        <v/>
      </c>
      <c r="Q54">
        <f>IF(53&lt;=$I$8, INDEX('Precios Diarios'!$E$2:$E$495, $G$8 - 1 + 53 - 1), NA())</f>
        <v/>
      </c>
      <c r="R54">
        <f>IF(53&lt;=$I$8, INDEX('Precios Diarios'!$F$2:$F$495, $G$8 - 1 + 53 - 1), NA())</f>
        <v/>
      </c>
    </row>
    <row r="55">
      <c r="P55" s="2">
        <f>IF(54&lt;=$I$8, INDEX('Precios Diarios'!$A$2:$A$495, $G$8 - 1 + 54 - 1), NA())</f>
        <v/>
      </c>
      <c r="Q55">
        <f>IF(54&lt;=$I$8, INDEX('Precios Diarios'!$E$2:$E$495, $G$8 - 1 + 54 - 1), NA())</f>
        <v/>
      </c>
      <c r="R55">
        <f>IF(54&lt;=$I$8, INDEX('Precios Diarios'!$F$2:$F$495, $G$8 - 1 + 54 - 1), NA())</f>
        <v/>
      </c>
    </row>
    <row r="56">
      <c r="P56" s="2">
        <f>IF(55&lt;=$I$8, INDEX('Precios Diarios'!$A$2:$A$495, $G$8 - 1 + 55 - 1), NA())</f>
        <v/>
      </c>
      <c r="Q56">
        <f>IF(55&lt;=$I$8, INDEX('Precios Diarios'!$E$2:$E$495, $G$8 - 1 + 55 - 1), NA())</f>
        <v/>
      </c>
      <c r="R56">
        <f>IF(55&lt;=$I$8, INDEX('Precios Diarios'!$F$2:$F$495, $G$8 - 1 + 55 - 1), NA())</f>
        <v/>
      </c>
    </row>
    <row r="57">
      <c r="P57" s="2">
        <f>IF(56&lt;=$I$8, INDEX('Precios Diarios'!$A$2:$A$495, $G$8 - 1 + 56 - 1), NA())</f>
        <v/>
      </c>
      <c r="Q57">
        <f>IF(56&lt;=$I$8, INDEX('Precios Diarios'!$E$2:$E$495, $G$8 - 1 + 56 - 1), NA())</f>
        <v/>
      </c>
      <c r="R57">
        <f>IF(56&lt;=$I$8, INDEX('Precios Diarios'!$F$2:$F$495, $G$8 - 1 + 56 - 1), NA())</f>
        <v/>
      </c>
    </row>
    <row r="58">
      <c r="P58" s="2">
        <f>IF(57&lt;=$I$8, INDEX('Precios Diarios'!$A$2:$A$495, $G$8 - 1 + 57 - 1), NA())</f>
        <v/>
      </c>
      <c r="Q58">
        <f>IF(57&lt;=$I$8, INDEX('Precios Diarios'!$E$2:$E$495, $G$8 - 1 + 57 - 1), NA())</f>
        <v/>
      </c>
      <c r="R58">
        <f>IF(57&lt;=$I$8, INDEX('Precios Diarios'!$F$2:$F$495, $G$8 - 1 + 57 - 1), NA())</f>
        <v/>
      </c>
    </row>
    <row r="59">
      <c r="P59" s="2">
        <f>IF(58&lt;=$I$8, INDEX('Precios Diarios'!$A$2:$A$495, $G$8 - 1 + 58 - 1), NA())</f>
        <v/>
      </c>
      <c r="Q59">
        <f>IF(58&lt;=$I$8, INDEX('Precios Diarios'!$E$2:$E$495, $G$8 - 1 + 58 - 1), NA())</f>
        <v/>
      </c>
      <c r="R59">
        <f>IF(58&lt;=$I$8, INDEX('Precios Diarios'!$F$2:$F$495, $G$8 - 1 + 58 - 1), NA())</f>
        <v/>
      </c>
    </row>
    <row r="60">
      <c r="P60" s="2">
        <f>IF(59&lt;=$I$8, INDEX('Precios Diarios'!$A$2:$A$495, $G$8 - 1 + 59 - 1), NA())</f>
        <v/>
      </c>
      <c r="Q60">
        <f>IF(59&lt;=$I$8, INDEX('Precios Diarios'!$E$2:$E$495, $G$8 - 1 + 59 - 1), NA())</f>
        <v/>
      </c>
      <c r="R60">
        <f>IF(59&lt;=$I$8, INDEX('Precios Diarios'!$F$2:$F$495, $G$8 - 1 + 59 - 1), NA())</f>
        <v/>
      </c>
    </row>
    <row r="61">
      <c r="P61" s="2">
        <f>IF(60&lt;=$I$8, INDEX('Precios Diarios'!$A$2:$A$495, $G$8 - 1 + 60 - 1), NA())</f>
        <v/>
      </c>
      <c r="Q61">
        <f>IF(60&lt;=$I$8, INDEX('Precios Diarios'!$E$2:$E$495, $G$8 - 1 + 60 - 1), NA())</f>
        <v/>
      </c>
      <c r="R61">
        <f>IF(60&lt;=$I$8, INDEX('Precios Diarios'!$F$2:$F$495, $G$8 - 1 + 60 - 1), NA())</f>
        <v/>
      </c>
    </row>
    <row r="62">
      <c r="P62" s="2">
        <f>IF(61&lt;=$I$8, INDEX('Precios Diarios'!$A$2:$A$495, $G$8 - 1 + 61 - 1), NA())</f>
        <v/>
      </c>
      <c r="Q62">
        <f>IF(61&lt;=$I$8, INDEX('Precios Diarios'!$E$2:$E$495, $G$8 - 1 + 61 - 1), NA())</f>
        <v/>
      </c>
      <c r="R62">
        <f>IF(61&lt;=$I$8, INDEX('Precios Diarios'!$F$2:$F$495, $G$8 - 1 + 61 - 1), NA())</f>
        <v/>
      </c>
    </row>
    <row r="63">
      <c r="P63" s="2">
        <f>IF(62&lt;=$I$8, INDEX('Precios Diarios'!$A$2:$A$495, $G$8 - 1 + 62 - 1), NA())</f>
        <v/>
      </c>
      <c r="Q63">
        <f>IF(62&lt;=$I$8, INDEX('Precios Diarios'!$E$2:$E$495, $G$8 - 1 + 62 - 1), NA())</f>
        <v/>
      </c>
      <c r="R63">
        <f>IF(62&lt;=$I$8, INDEX('Precios Diarios'!$F$2:$F$495, $G$8 - 1 + 62 - 1), NA())</f>
        <v/>
      </c>
    </row>
    <row r="64">
      <c r="P64" s="2">
        <f>IF(63&lt;=$I$8, INDEX('Precios Diarios'!$A$2:$A$495, $G$8 - 1 + 63 - 1), NA())</f>
        <v/>
      </c>
      <c r="Q64">
        <f>IF(63&lt;=$I$8, INDEX('Precios Diarios'!$E$2:$E$495, $G$8 - 1 + 63 - 1), NA())</f>
        <v/>
      </c>
      <c r="R64">
        <f>IF(63&lt;=$I$8, INDEX('Precios Diarios'!$F$2:$F$495, $G$8 - 1 + 63 - 1), NA())</f>
        <v/>
      </c>
    </row>
    <row r="65">
      <c r="P65" s="2">
        <f>IF(64&lt;=$I$8, INDEX('Precios Diarios'!$A$2:$A$495, $G$8 - 1 + 64 - 1), NA())</f>
        <v/>
      </c>
      <c r="Q65">
        <f>IF(64&lt;=$I$8, INDEX('Precios Diarios'!$E$2:$E$495, $G$8 - 1 + 64 - 1), NA())</f>
        <v/>
      </c>
      <c r="R65">
        <f>IF(64&lt;=$I$8, INDEX('Precios Diarios'!$F$2:$F$495, $G$8 - 1 + 64 - 1), NA())</f>
        <v/>
      </c>
    </row>
    <row r="66">
      <c r="P66" s="2">
        <f>IF(65&lt;=$I$8, INDEX('Precios Diarios'!$A$2:$A$495, $G$8 - 1 + 65 - 1), NA())</f>
        <v/>
      </c>
      <c r="Q66">
        <f>IF(65&lt;=$I$8, INDEX('Precios Diarios'!$E$2:$E$495, $G$8 - 1 + 65 - 1), NA())</f>
        <v/>
      </c>
      <c r="R66">
        <f>IF(65&lt;=$I$8, INDEX('Precios Diarios'!$F$2:$F$495, $G$8 - 1 + 65 - 1), NA())</f>
        <v/>
      </c>
    </row>
    <row r="67">
      <c r="P67" s="2">
        <f>IF(66&lt;=$I$8, INDEX('Precios Diarios'!$A$2:$A$495, $G$8 - 1 + 66 - 1), NA())</f>
        <v/>
      </c>
      <c r="Q67">
        <f>IF(66&lt;=$I$8, INDEX('Precios Diarios'!$E$2:$E$495, $G$8 - 1 + 66 - 1), NA())</f>
        <v/>
      </c>
      <c r="R67">
        <f>IF(66&lt;=$I$8, INDEX('Precios Diarios'!$F$2:$F$495, $G$8 - 1 + 66 - 1), NA())</f>
        <v/>
      </c>
    </row>
    <row r="68">
      <c r="P68" s="2">
        <f>IF(67&lt;=$I$8, INDEX('Precios Diarios'!$A$2:$A$495, $G$8 - 1 + 67 - 1), NA())</f>
        <v/>
      </c>
      <c r="Q68">
        <f>IF(67&lt;=$I$8, INDEX('Precios Diarios'!$E$2:$E$495, $G$8 - 1 + 67 - 1), NA())</f>
        <v/>
      </c>
      <c r="R68">
        <f>IF(67&lt;=$I$8, INDEX('Precios Diarios'!$F$2:$F$495, $G$8 - 1 + 67 - 1), NA())</f>
        <v/>
      </c>
    </row>
    <row r="69">
      <c r="P69" s="2">
        <f>IF(68&lt;=$I$8, INDEX('Precios Diarios'!$A$2:$A$495, $G$8 - 1 + 68 - 1), NA())</f>
        <v/>
      </c>
      <c r="Q69">
        <f>IF(68&lt;=$I$8, INDEX('Precios Diarios'!$E$2:$E$495, $G$8 - 1 + 68 - 1), NA())</f>
        <v/>
      </c>
      <c r="R69">
        <f>IF(68&lt;=$I$8, INDEX('Precios Diarios'!$F$2:$F$495, $G$8 - 1 + 68 - 1), NA())</f>
        <v/>
      </c>
    </row>
    <row r="70">
      <c r="P70" s="2">
        <f>IF(69&lt;=$I$8, INDEX('Precios Diarios'!$A$2:$A$495, $G$8 - 1 + 69 - 1), NA())</f>
        <v/>
      </c>
      <c r="Q70">
        <f>IF(69&lt;=$I$8, INDEX('Precios Diarios'!$E$2:$E$495, $G$8 - 1 + 69 - 1), NA())</f>
        <v/>
      </c>
      <c r="R70">
        <f>IF(69&lt;=$I$8, INDEX('Precios Diarios'!$F$2:$F$495, $G$8 - 1 + 69 - 1), NA())</f>
        <v/>
      </c>
    </row>
    <row r="71">
      <c r="P71" s="2">
        <f>IF(70&lt;=$I$8, INDEX('Precios Diarios'!$A$2:$A$495, $G$8 - 1 + 70 - 1), NA())</f>
        <v/>
      </c>
      <c r="Q71">
        <f>IF(70&lt;=$I$8, INDEX('Precios Diarios'!$E$2:$E$495, $G$8 - 1 + 70 - 1), NA())</f>
        <v/>
      </c>
      <c r="R71">
        <f>IF(70&lt;=$I$8, INDEX('Precios Diarios'!$F$2:$F$495, $G$8 - 1 + 70 - 1), NA())</f>
        <v/>
      </c>
    </row>
    <row r="72">
      <c r="P72" s="2">
        <f>IF(71&lt;=$I$8, INDEX('Precios Diarios'!$A$2:$A$495, $G$8 - 1 + 71 - 1), NA())</f>
        <v/>
      </c>
      <c r="Q72">
        <f>IF(71&lt;=$I$8, INDEX('Precios Diarios'!$E$2:$E$495, $G$8 - 1 + 71 - 1), NA())</f>
        <v/>
      </c>
      <c r="R72">
        <f>IF(71&lt;=$I$8, INDEX('Precios Diarios'!$F$2:$F$495, $G$8 - 1 + 71 - 1), NA())</f>
        <v/>
      </c>
    </row>
    <row r="73">
      <c r="P73" s="2">
        <f>IF(72&lt;=$I$8, INDEX('Precios Diarios'!$A$2:$A$495, $G$8 - 1 + 72 - 1), NA())</f>
        <v/>
      </c>
      <c r="Q73">
        <f>IF(72&lt;=$I$8, INDEX('Precios Diarios'!$E$2:$E$495, $G$8 - 1 + 72 - 1), NA())</f>
        <v/>
      </c>
      <c r="R73">
        <f>IF(72&lt;=$I$8, INDEX('Precios Diarios'!$F$2:$F$495, $G$8 - 1 + 72 - 1), NA())</f>
        <v/>
      </c>
    </row>
    <row r="74">
      <c r="P74" s="2">
        <f>IF(73&lt;=$I$8, INDEX('Precios Diarios'!$A$2:$A$495, $G$8 - 1 + 73 - 1), NA())</f>
        <v/>
      </c>
      <c r="Q74">
        <f>IF(73&lt;=$I$8, INDEX('Precios Diarios'!$E$2:$E$495, $G$8 - 1 + 73 - 1), NA())</f>
        <v/>
      </c>
      <c r="R74">
        <f>IF(73&lt;=$I$8, INDEX('Precios Diarios'!$F$2:$F$495, $G$8 - 1 + 73 - 1), NA())</f>
        <v/>
      </c>
    </row>
    <row r="75">
      <c r="P75" s="2">
        <f>IF(74&lt;=$I$8, INDEX('Precios Diarios'!$A$2:$A$495, $G$8 - 1 + 74 - 1), NA())</f>
        <v/>
      </c>
      <c r="Q75">
        <f>IF(74&lt;=$I$8, INDEX('Precios Diarios'!$E$2:$E$495, $G$8 - 1 + 74 - 1), NA())</f>
        <v/>
      </c>
      <c r="R75">
        <f>IF(74&lt;=$I$8, INDEX('Precios Diarios'!$F$2:$F$495, $G$8 - 1 + 74 - 1), NA())</f>
        <v/>
      </c>
    </row>
    <row r="76">
      <c r="P76" s="2">
        <f>IF(75&lt;=$I$8, INDEX('Precios Diarios'!$A$2:$A$495, $G$8 - 1 + 75 - 1), NA())</f>
        <v/>
      </c>
      <c r="Q76">
        <f>IF(75&lt;=$I$8, INDEX('Precios Diarios'!$E$2:$E$495, $G$8 - 1 + 75 - 1), NA())</f>
        <v/>
      </c>
      <c r="R76">
        <f>IF(75&lt;=$I$8, INDEX('Precios Diarios'!$F$2:$F$495, $G$8 - 1 + 75 - 1), NA())</f>
        <v/>
      </c>
    </row>
    <row r="77">
      <c r="P77" s="2">
        <f>IF(76&lt;=$I$8, INDEX('Precios Diarios'!$A$2:$A$495, $G$8 - 1 + 76 - 1), NA())</f>
        <v/>
      </c>
      <c r="Q77">
        <f>IF(76&lt;=$I$8, INDEX('Precios Diarios'!$E$2:$E$495, $G$8 - 1 + 76 - 1), NA())</f>
        <v/>
      </c>
      <c r="R77">
        <f>IF(76&lt;=$I$8, INDEX('Precios Diarios'!$F$2:$F$495, $G$8 - 1 + 76 - 1), NA())</f>
        <v/>
      </c>
    </row>
    <row r="78">
      <c r="P78" s="2">
        <f>IF(77&lt;=$I$8, INDEX('Precios Diarios'!$A$2:$A$495, $G$8 - 1 + 77 - 1), NA())</f>
        <v/>
      </c>
      <c r="Q78">
        <f>IF(77&lt;=$I$8, INDEX('Precios Diarios'!$E$2:$E$495, $G$8 - 1 + 77 - 1), NA())</f>
        <v/>
      </c>
      <c r="R78">
        <f>IF(77&lt;=$I$8, INDEX('Precios Diarios'!$F$2:$F$495, $G$8 - 1 + 77 - 1), NA())</f>
        <v/>
      </c>
    </row>
    <row r="79">
      <c r="P79" s="2">
        <f>IF(78&lt;=$I$8, INDEX('Precios Diarios'!$A$2:$A$495, $G$8 - 1 + 78 - 1), NA())</f>
        <v/>
      </c>
      <c r="Q79">
        <f>IF(78&lt;=$I$8, INDEX('Precios Diarios'!$E$2:$E$495, $G$8 - 1 + 78 - 1), NA())</f>
        <v/>
      </c>
      <c r="R79">
        <f>IF(78&lt;=$I$8, INDEX('Precios Diarios'!$F$2:$F$495, $G$8 - 1 + 78 - 1), NA())</f>
        <v/>
      </c>
    </row>
    <row r="80">
      <c r="P80" s="2">
        <f>IF(79&lt;=$I$8, INDEX('Precios Diarios'!$A$2:$A$495, $G$8 - 1 + 79 - 1), NA())</f>
        <v/>
      </c>
      <c r="Q80">
        <f>IF(79&lt;=$I$8, INDEX('Precios Diarios'!$E$2:$E$495, $G$8 - 1 + 79 - 1), NA())</f>
        <v/>
      </c>
      <c r="R80">
        <f>IF(79&lt;=$I$8, INDEX('Precios Diarios'!$F$2:$F$495, $G$8 - 1 + 79 - 1), NA())</f>
        <v/>
      </c>
    </row>
    <row r="81">
      <c r="P81" s="2">
        <f>IF(80&lt;=$I$8, INDEX('Precios Diarios'!$A$2:$A$495, $G$8 - 1 + 80 - 1), NA())</f>
        <v/>
      </c>
      <c r="Q81">
        <f>IF(80&lt;=$I$8, INDEX('Precios Diarios'!$E$2:$E$495, $G$8 - 1 + 80 - 1), NA())</f>
        <v/>
      </c>
      <c r="R81">
        <f>IF(80&lt;=$I$8, INDEX('Precios Diarios'!$F$2:$F$495, $G$8 - 1 + 80 - 1), NA())</f>
        <v/>
      </c>
    </row>
    <row r="82">
      <c r="P82" s="2">
        <f>IF(81&lt;=$I$8, INDEX('Precios Diarios'!$A$2:$A$495, $G$8 - 1 + 81 - 1), NA())</f>
        <v/>
      </c>
      <c r="Q82">
        <f>IF(81&lt;=$I$8, INDEX('Precios Diarios'!$E$2:$E$495, $G$8 - 1 + 81 - 1), NA())</f>
        <v/>
      </c>
      <c r="R82">
        <f>IF(81&lt;=$I$8, INDEX('Precios Diarios'!$F$2:$F$495, $G$8 - 1 + 81 - 1), NA())</f>
        <v/>
      </c>
    </row>
    <row r="83">
      <c r="P83" s="2">
        <f>IF(82&lt;=$I$8, INDEX('Precios Diarios'!$A$2:$A$495, $G$8 - 1 + 82 - 1), NA())</f>
        <v/>
      </c>
      <c r="Q83">
        <f>IF(82&lt;=$I$8, INDEX('Precios Diarios'!$E$2:$E$495, $G$8 - 1 + 82 - 1), NA())</f>
        <v/>
      </c>
      <c r="R83">
        <f>IF(82&lt;=$I$8, INDEX('Precios Diarios'!$F$2:$F$495, $G$8 - 1 + 82 - 1), NA())</f>
        <v/>
      </c>
    </row>
    <row r="84">
      <c r="P84" s="2">
        <f>IF(83&lt;=$I$8, INDEX('Precios Diarios'!$A$2:$A$495, $G$8 - 1 + 83 - 1), NA())</f>
        <v/>
      </c>
      <c r="Q84">
        <f>IF(83&lt;=$I$8, INDEX('Precios Diarios'!$E$2:$E$495, $G$8 - 1 + 83 - 1), NA())</f>
        <v/>
      </c>
      <c r="R84">
        <f>IF(83&lt;=$I$8, INDEX('Precios Diarios'!$F$2:$F$495, $G$8 - 1 + 83 - 1), NA())</f>
        <v/>
      </c>
    </row>
    <row r="85">
      <c r="P85" s="2">
        <f>IF(84&lt;=$I$8, INDEX('Precios Diarios'!$A$2:$A$495, $G$8 - 1 + 84 - 1), NA())</f>
        <v/>
      </c>
      <c r="Q85">
        <f>IF(84&lt;=$I$8, INDEX('Precios Diarios'!$E$2:$E$495, $G$8 - 1 + 84 - 1), NA())</f>
        <v/>
      </c>
      <c r="R85">
        <f>IF(84&lt;=$I$8, INDEX('Precios Diarios'!$F$2:$F$495, $G$8 - 1 + 84 - 1), NA())</f>
        <v/>
      </c>
    </row>
    <row r="86">
      <c r="P86" s="2">
        <f>IF(85&lt;=$I$8, INDEX('Precios Diarios'!$A$2:$A$495, $G$8 - 1 + 85 - 1), NA())</f>
        <v/>
      </c>
      <c r="Q86">
        <f>IF(85&lt;=$I$8, INDEX('Precios Diarios'!$E$2:$E$495, $G$8 - 1 + 85 - 1), NA())</f>
        <v/>
      </c>
      <c r="R86">
        <f>IF(85&lt;=$I$8, INDEX('Precios Diarios'!$F$2:$F$495, $G$8 - 1 + 85 - 1), NA())</f>
        <v/>
      </c>
    </row>
    <row r="87">
      <c r="P87" s="2">
        <f>IF(86&lt;=$I$8, INDEX('Precios Diarios'!$A$2:$A$495, $G$8 - 1 + 86 - 1), NA())</f>
        <v/>
      </c>
      <c r="Q87">
        <f>IF(86&lt;=$I$8, INDEX('Precios Diarios'!$E$2:$E$495, $G$8 - 1 + 86 - 1), NA())</f>
        <v/>
      </c>
      <c r="R87">
        <f>IF(86&lt;=$I$8, INDEX('Precios Diarios'!$F$2:$F$495, $G$8 - 1 + 86 - 1), NA())</f>
        <v/>
      </c>
    </row>
    <row r="88">
      <c r="P88" s="2">
        <f>IF(87&lt;=$I$8, INDEX('Precios Diarios'!$A$2:$A$495, $G$8 - 1 + 87 - 1), NA())</f>
        <v/>
      </c>
      <c r="Q88">
        <f>IF(87&lt;=$I$8, INDEX('Precios Diarios'!$E$2:$E$495, $G$8 - 1 + 87 - 1), NA())</f>
        <v/>
      </c>
      <c r="R88">
        <f>IF(87&lt;=$I$8, INDEX('Precios Diarios'!$F$2:$F$495, $G$8 - 1 + 87 - 1), NA())</f>
        <v/>
      </c>
    </row>
    <row r="89">
      <c r="P89" s="2">
        <f>IF(88&lt;=$I$8, INDEX('Precios Diarios'!$A$2:$A$495, $G$8 - 1 + 88 - 1), NA())</f>
        <v/>
      </c>
      <c r="Q89">
        <f>IF(88&lt;=$I$8, INDEX('Precios Diarios'!$E$2:$E$495, $G$8 - 1 + 88 - 1), NA())</f>
        <v/>
      </c>
      <c r="R89">
        <f>IF(88&lt;=$I$8, INDEX('Precios Diarios'!$F$2:$F$495, $G$8 - 1 + 88 - 1), NA())</f>
        <v/>
      </c>
    </row>
    <row r="90">
      <c r="P90" s="2">
        <f>IF(89&lt;=$I$8, INDEX('Precios Diarios'!$A$2:$A$495, $G$8 - 1 + 89 - 1), NA())</f>
        <v/>
      </c>
      <c r="Q90">
        <f>IF(89&lt;=$I$8, INDEX('Precios Diarios'!$E$2:$E$495, $G$8 - 1 + 89 - 1), NA())</f>
        <v/>
      </c>
      <c r="R90">
        <f>IF(89&lt;=$I$8, INDEX('Precios Diarios'!$F$2:$F$495, $G$8 - 1 + 89 - 1), NA())</f>
        <v/>
      </c>
    </row>
    <row r="91">
      <c r="P91" s="2">
        <f>IF(90&lt;=$I$8, INDEX('Precios Diarios'!$A$2:$A$495, $G$8 - 1 + 90 - 1), NA())</f>
        <v/>
      </c>
      <c r="Q91">
        <f>IF(90&lt;=$I$8, INDEX('Precios Diarios'!$E$2:$E$495, $G$8 - 1 + 90 - 1), NA())</f>
        <v/>
      </c>
      <c r="R91">
        <f>IF(90&lt;=$I$8, INDEX('Precios Diarios'!$F$2:$F$495, $G$8 - 1 + 90 - 1), NA())</f>
        <v/>
      </c>
    </row>
    <row r="92">
      <c r="P92" s="2">
        <f>IF(91&lt;=$I$8, INDEX('Precios Diarios'!$A$2:$A$495, $G$8 - 1 + 91 - 1), NA())</f>
        <v/>
      </c>
      <c r="Q92">
        <f>IF(91&lt;=$I$8, INDEX('Precios Diarios'!$E$2:$E$495, $G$8 - 1 + 91 - 1), NA())</f>
        <v/>
      </c>
      <c r="R92">
        <f>IF(91&lt;=$I$8, INDEX('Precios Diarios'!$F$2:$F$495, $G$8 - 1 + 91 - 1), NA())</f>
        <v/>
      </c>
    </row>
    <row r="93">
      <c r="P93" s="2">
        <f>IF(92&lt;=$I$8, INDEX('Precios Diarios'!$A$2:$A$495, $G$8 - 1 + 92 - 1), NA())</f>
        <v/>
      </c>
      <c r="Q93">
        <f>IF(92&lt;=$I$8, INDEX('Precios Diarios'!$E$2:$E$495, $G$8 - 1 + 92 - 1), NA())</f>
        <v/>
      </c>
      <c r="R93">
        <f>IF(92&lt;=$I$8, INDEX('Precios Diarios'!$F$2:$F$495, $G$8 - 1 + 92 - 1), NA())</f>
        <v/>
      </c>
    </row>
    <row r="94">
      <c r="P94" s="2">
        <f>IF(93&lt;=$I$8, INDEX('Precios Diarios'!$A$2:$A$495, $G$8 - 1 + 93 - 1), NA())</f>
        <v/>
      </c>
      <c r="Q94">
        <f>IF(93&lt;=$I$8, INDEX('Precios Diarios'!$E$2:$E$495, $G$8 - 1 + 93 - 1), NA())</f>
        <v/>
      </c>
      <c r="R94">
        <f>IF(93&lt;=$I$8, INDEX('Precios Diarios'!$F$2:$F$495, $G$8 - 1 + 93 - 1), NA())</f>
        <v/>
      </c>
    </row>
    <row r="95">
      <c r="P95" s="2">
        <f>IF(94&lt;=$I$8, INDEX('Precios Diarios'!$A$2:$A$495, $G$8 - 1 + 94 - 1), NA())</f>
        <v/>
      </c>
      <c r="Q95">
        <f>IF(94&lt;=$I$8, INDEX('Precios Diarios'!$E$2:$E$495, $G$8 - 1 + 94 - 1), NA())</f>
        <v/>
      </c>
      <c r="R95">
        <f>IF(94&lt;=$I$8, INDEX('Precios Diarios'!$F$2:$F$495, $G$8 - 1 + 94 - 1), NA())</f>
        <v/>
      </c>
    </row>
    <row r="96">
      <c r="P96" s="2">
        <f>IF(95&lt;=$I$8, INDEX('Precios Diarios'!$A$2:$A$495, $G$8 - 1 + 95 - 1), NA())</f>
        <v/>
      </c>
      <c r="Q96">
        <f>IF(95&lt;=$I$8, INDEX('Precios Diarios'!$E$2:$E$495, $G$8 - 1 + 95 - 1), NA())</f>
        <v/>
      </c>
      <c r="R96">
        <f>IF(95&lt;=$I$8, INDEX('Precios Diarios'!$F$2:$F$495, $G$8 - 1 + 95 - 1), NA())</f>
        <v/>
      </c>
    </row>
    <row r="97">
      <c r="P97" s="2">
        <f>IF(96&lt;=$I$8, INDEX('Precios Diarios'!$A$2:$A$495, $G$8 - 1 + 96 - 1), NA())</f>
        <v/>
      </c>
      <c r="Q97">
        <f>IF(96&lt;=$I$8, INDEX('Precios Diarios'!$E$2:$E$495, $G$8 - 1 + 96 - 1), NA())</f>
        <v/>
      </c>
      <c r="R97">
        <f>IF(96&lt;=$I$8, INDEX('Precios Diarios'!$F$2:$F$495, $G$8 - 1 + 96 - 1), NA())</f>
        <v/>
      </c>
    </row>
    <row r="98">
      <c r="P98" s="2">
        <f>IF(97&lt;=$I$8, INDEX('Precios Diarios'!$A$2:$A$495, $G$8 - 1 + 97 - 1), NA())</f>
        <v/>
      </c>
      <c r="Q98">
        <f>IF(97&lt;=$I$8, INDEX('Precios Diarios'!$E$2:$E$495, $G$8 - 1 + 97 - 1), NA())</f>
        <v/>
      </c>
      <c r="R98">
        <f>IF(97&lt;=$I$8, INDEX('Precios Diarios'!$F$2:$F$495, $G$8 - 1 + 97 - 1), NA())</f>
        <v/>
      </c>
    </row>
    <row r="99">
      <c r="P99" s="2">
        <f>IF(98&lt;=$I$8, INDEX('Precios Diarios'!$A$2:$A$495, $G$8 - 1 + 98 - 1), NA())</f>
        <v/>
      </c>
      <c r="Q99">
        <f>IF(98&lt;=$I$8, INDEX('Precios Diarios'!$E$2:$E$495, $G$8 - 1 + 98 - 1), NA())</f>
        <v/>
      </c>
      <c r="R99">
        <f>IF(98&lt;=$I$8, INDEX('Precios Diarios'!$F$2:$F$495, $G$8 - 1 + 98 - 1), NA())</f>
        <v/>
      </c>
    </row>
    <row r="100">
      <c r="P100" s="2">
        <f>IF(99&lt;=$I$8, INDEX('Precios Diarios'!$A$2:$A$495, $G$8 - 1 + 99 - 1), NA())</f>
        <v/>
      </c>
      <c r="Q100">
        <f>IF(99&lt;=$I$8, INDEX('Precios Diarios'!$E$2:$E$495, $G$8 - 1 + 99 - 1), NA())</f>
        <v/>
      </c>
      <c r="R100">
        <f>IF(99&lt;=$I$8, INDEX('Precios Diarios'!$F$2:$F$495, $G$8 - 1 + 99 - 1), NA())</f>
        <v/>
      </c>
    </row>
    <row r="101">
      <c r="P101" s="2">
        <f>IF(100&lt;=$I$8, INDEX('Precios Diarios'!$A$2:$A$495, $G$8 - 1 + 100 - 1), NA())</f>
        <v/>
      </c>
      <c r="Q101">
        <f>IF(100&lt;=$I$8, INDEX('Precios Diarios'!$E$2:$E$495, $G$8 - 1 + 100 - 1), NA())</f>
        <v/>
      </c>
      <c r="R101">
        <f>IF(100&lt;=$I$8, INDEX('Precios Diarios'!$F$2:$F$495, $G$8 - 1 + 100 - 1), NA())</f>
        <v/>
      </c>
    </row>
    <row r="102">
      <c r="P102" s="2">
        <f>IF(101&lt;=$I$8, INDEX('Precios Diarios'!$A$2:$A$495, $G$8 - 1 + 101 - 1), NA())</f>
        <v/>
      </c>
      <c r="Q102">
        <f>IF(101&lt;=$I$8, INDEX('Precios Diarios'!$E$2:$E$495, $G$8 - 1 + 101 - 1), NA())</f>
        <v/>
      </c>
      <c r="R102">
        <f>IF(101&lt;=$I$8, INDEX('Precios Diarios'!$F$2:$F$495, $G$8 - 1 + 101 - 1), NA())</f>
        <v/>
      </c>
    </row>
    <row r="103">
      <c r="P103" s="2">
        <f>IF(102&lt;=$I$8, INDEX('Precios Diarios'!$A$2:$A$495, $G$8 - 1 + 102 - 1), NA())</f>
        <v/>
      </c>
      <c r="Q103">
        <f>IF(102&lt;=$I$8, INDEX('Precios Diarios'!$E$2:$E$495, $G$8 - 1 + 102 - 1), NA())</f>
        <v/>
      </c>
      <c r="R103">
        <f>IF(102&lt;=$I$8, INDEX('Precios Diarios'!$F$2:$F$495, $G$8 - 1 + 102 - 1), NA())</f>
        <v/>
      </c>
    </row>
    <row r="104">
      <c r="P104" s="2">
        <f>IF(103&lt;=$I$8, INDEX('Precios Diarios'!$A$2:$A$495, $G$8 - 1 + 103 - 1), NA())</f>
        <v/>
      </c>
      <c r="Q104">
        <f>IF(103&lt;=$I$8, INDEX('Precios Diarios'!$E$2:$E$495, $G$8 - 1 + 103 - 1), NA())</f>
        <v/>
      </c>
      <c r="R104">
        <f>IF(103&lt;=$I$8, INDEX('Precios Diarios'!$F$2:$F$495, $G$8 - 1 + 103 - 1), NA())</f>
        <v/>
      </c>
    </row>
    <row r="105">
      <c r="P105" s="2">
        <f>IF(104&lt;=$I$8, INDEX('Precios Diarios'!$A$2:$A$495, $G$8 - 1 + 104 - 1), NA())</f>
        <v/>
      </c>
      <c r="Q105">
        <f>IF(104&lt;=$I$8, INDEX('Precios Diarios'!$E$2:$E$495, $G$8 - 1 + 104 - 1), NA())</f>
        <v/>
      </c>
      <c r="R105">
        <f>IF(104&lt;=$I$8, INDEX('Precios Diarios'!$F$2:$F$495, $G$8 - 1 + 104 - 1), NA())</f>
        <v/>
      </c>
    </row>
    <row r="106">
      <c r="P106" s="2">
        <f>IF(105&lt;=$I$8, INDEX('Precios Diarios'!$A$2:$A$495, $G$8 - 1 + 105 - 1), NA())</f>
        <v/>
      </c>
      <c r="Q106">
        <f>IF(105&lt;=$I$8, INDEX('Precios Diarios'!$E$2:$E$495, $G$8 - 1 + 105 - 1), NA())</f>
        <v/>
      </c>
      <c r="R106">
        <f>IF(105&lt;=$I$8, INDEX('Precios Diarios'!$F$2:$F$495, $G$8 - 1 + 105 - 1), NA())</f>
        <v/>
      </c>
    </row>
    <row r="107">
      <c r="P107" s="2">
        <f>IF(106&lt;=$I$8, INDEX('Precios Diarios'!$A$2:$A$495, $G$8 - 1 + 106 - 1), NA())</f>
        <v/>
      </c>
      <c r="Q107">
        <f>IF(106&lt;=$I$8, INDEX('Precios Diarios'!$E$2:$E$495, $G$8 - 1 + 106 - 1), NA())</f>
        <v/>
      </c>
      <c r="R107">
        <f>IF(106&lt;=$I$8, INDEX('Precios Diarios'!$F$2:$F$495, $G$8 - 1 + 106 - 1), NA())</f>
        <v/>
      </c>
    </row>
    <row r="108">
      <c r="P108" s="2">
        <f>IF(107&lt;=$I$8, INDEX('Precios Diarios'!$A$2:$A$495, $G$8 - 1 + 107 - 1), NA())</f>
        <v/>
      </c>
      <c r="Q108">
        <f>IF(107&lt;=$I$8, INDEX('Precios Diarios'!$E$2:$E$495, $G$8 - 1 + 107 - 1), NA())</f>
        <v/>
      </c>
      <c r="R108">
        <f>IF(107&lt;=$I$8, INDEX('Precios Diarios'!$F$2:$F$495, $G$8 - 1 + 107 - 1), NA())</f>
        <v/>
      </c>
    </row>
    <row r="109">
      <c r="P109" s="2">
        <f>IF(108&lt;=$I$8, INDEX('Precios Diarios'!$A$2:$A$495, $G$8 - 1 + 108 - 1), NA())</f>
        <v/>
      </c>
      <c r="Q109">
        <f>IF(108&lt;=$I$8, INDEX('Precios Diarios'!$E$2:$E$495, $G$8 - 1 + 108 - 1), NA())</f>
        <v/>
      </c>
      <c r="R109">
        <f>IF(108&lt;=$I$8, INDEX('Precios Diarios'!$F$2:$F$495, $G$8 - 1 + 108 - 1), NA())</f>
        <v/>
      </c>
    </row>
    <row r="110">
      <c r="P110" s="2">
        <f>IF(109&lt;=$I$8, INDEX('Precios Diarios'!$A$2:$A$495, $G$8 - 1 + 109 - 1), NA())</f>
        <v/>
      </c>
      <c r="Q110">
        <f>IF(109&lt;=$I$8, INDEX('Precios Diarios'!$E$2:$E$495, $G$8 - 1 + 109 - 1), NA())</f>
        <v/>
      </c>
      <c r="R110">
        <f>IF(109&lt;=$I$8, INDEX('Precios Diarios'!$F$2:$F$495, $G$8 - 1 + 109 - 1), NA())</f>
        <v/>
      </c>
    </row>
    <row r="111">
      <c r="P111" s="2">
        <f>IF(110&lt;=$I$8, INDEX('Precios Diarios'!$A$2:$A$495, $G$8 - 1 + 110 - 1), NA())</f>
        <v/>
      </c>
      <c r="Q111">
        <f>IF(110&lt;=$I$8, INDEX('Precios Diarios'!$E$2:$E$495, $G$8 - 1 + 110 - 1), NA())</f>
        <v/>
      </c>
      <c r="R111">
        <f>IF(110&lt;=$I$8, INDEX('Precios Diarios'!$F$2:$F$495, $G$8 - 1 + 110 - 1), NA())</f>
        <v/>
      </c>
    </row>
    <row r="112">
      <c r="P112" s="2">
        <f>IF(111&lt;=$I$8, INDEX('Precios Diarios'!$A$2:$A$495, $G$8 - 1 + 111 - 1), NA())</f>
        <v/>
      </c>
      <c r="Q112">
        <f>IF(111&lt;=$I$8, INDEX('Precios Diarios'!$E$2:$E$495, $G$8 - 1 + 111 - 1), NA())</f>
        <v/>
      </c>
      <c r="R112">
        <f>IF(111&lt;=$I$8, INDEX('Precios Diarios'!$F$2:$F$495, $G$8 - 1 + 111 - 1), NA())</f>
        <v/>
      </c>
    </row>
    <row r="113">
      <c r="P113" s="2">
        <f>IF(112&lt;=$I$8, INDEX('Precios Diarios'!$A$2:$A$495, $G$8 - 1 + 112 - 1), NA())</f>
        <v/>
      </c>
      <c r="Q113">
        <f>IF(112&lt;=$I$8, INDEX('Precios Diarios'!$E$2:$E$495, $G$8 - 1 + 112 - 1), NA())</f>
        <v/>
      </c>
      <c r="R113">
        <f>IF(112&lt;=$I$8, INDEX('Precios Diarios'!$F$2:$F$495, $G$8 - 1 + 112 - 1), NA())</f>
        <v/>
      </c>
    </row>
    <row r="114">
      <c r="P114" s="2">
        <f>IF(113&lt;=$I$8, INDEX('Precios Diarios'!$A$2:$A$495, $G$8 - 1 + 113 - 1), NA())</f>
        <v/>
      </c>
      <c r="Q114">
        <f>IF(113&lt;=$I$8, INDEX('Precios Diarios'!$E$2:$E$495, $G$8 - 1 + 113 - 1), NA())</f>
        <v/>
      </c>
      <c r="R114">
        <f>IF(113&lt;=$I$8, INDEX('Precios Diarios'!$F$2:$F$495, $G$8 - 1 + 113 - 1), NA())</f>
        <v/>
      </c>
    </row>
    <row r="115">
      <c r="P115" s="2">
        <f>IF(114&lt;=$I$8, INDEX('Precios Diarios'!$A$2:$A$495, $G$8 - 1 + 114 - 1), NA())</f>
        <v/>
      </c>
      <c r="Q115">
        <f>IF(114&lt;=$I$8, INDEX('Precios Diarios'!$E$2:$E$495, $G$8 - 1 + 114 - 1), NA())</f>
        <v/>
      </c>
      <c r="R115">
        <f>IF(114&lt;=$I$8, INDEX('Precios Diarios'!$F$2:$F$495, $G$8 - 1 + 114 - 1), NA())</f>
        <v/>
      </c>
    </row>
    <row r="116">
      <c r="P116" s="2">
        <f>IF(115&lt;=$I$8, INDEX('Precios Diarios'!$A$2:$A$495, $G$8 - 1 + 115 - 1), NA())</f>
        <v/>
      </c>
      <c r="Q116">
        <f>IF(115&lt;=$I$8, INDEX('Precios Diarios'!$E$2:$E$495, $G$8 - 1 + 115 - 1), NA())</f>
        <v/>
      </c>
      <c r="R116">
        <f>IF(115&lt;=$I$8, INDEX('Precios Diarios'!$F$2:$F$495, $G$8 - 1 + 115 - 1), NA())</f>
        <v/>
      </c>
    </row>
    <row r="117">
      <c r="P117" s="2">
        <f>IF(116&lt;=$I$8, INDEX('Precios Diarios'!$A$2:$A$495, $G$8 - 1 + 116 - 1), NA())</f>
        <v/>
      </c>
      <c r="Q117">
        <f>IF(116&lt;=$I$8, INDEX('Precios Diarios'!$E$2:$E$495, $G$8 - 1 + 116 - 1), NA())</f>
        <v/>
      </c>
      <c r="R117">
        <f>IF(116&lt;=$I$8, INDEX('Precios Diarios'!$F$2:$F$495, $G$8 - 1 + 116 - 1), NA())</f>
        <v/>
      </c>
    </row>
    <row r="118">
      <c r="P118" s="2">
        <f>IF(117&lt;=$I$8, INDEX('Precios Diarios'!$A$2:$A$495, $G$8 - 1 + 117 - 1), NA())</f>
        <v/>
      </c>
      <c r="Q118">
        <f>IF(117&lt;=$I$8, INDEX('Precios Diarios'!$E$2:$E$495, $G$8 - 1 + 117 - 1), NA())</f>
        <v/>
      </c>
      <c r="R118">
        <f>IF(117&lt;=$I$8, INDEX('Precios Diarios'!$F$2:$F$495, $G$8 - 1 + 117 - 1), NA())</f>
        <v/>
      </c>
    </row>
    <row r="119">
      <c r="P119" s="2">
        <f>IF(118&lt;=$I$8, INDEX('Precios Diarios'!$A$2:$A$495, $G$8 - 1 + 118 - 1), NA())</f>
        <v/>
      </c>
      <c r="Q119">
        <f>IF(118&lt;=$I$8, INDEX('Precios Diarios'!$E$2:$E$495, $G$8 - 1 + 118 - 1), NA())</f>
        <v/>
      </c>
      <c r="R119">
        <f>IF(118&lt;=$I$8, INDEX('Precios Diarios'!$F$2:$F$495, $G$8 - 1 + 118 - 1), NA())</f>
        <v/>
      </c>
    </row>
    <row r="120">
      <c r="P120" s="2">
        <f>IF(119&lt;=$I$8, INDEX('Precios Diarios'!$A$2:$A$495, $G$8 - 1 + 119 - 1), NA())</f>
        <v/>
      </c>
      <c r="Q120">
        <f>IF(119&lt;=$I$8, INDEX('Precios Diarios'!$E$2:$E$495, $G$8 - 1 + 119 - 1), NA())</f>
        <v/>
      </c>
      <c r="R120">
        <f>IF(119&lt;=$I$8, INDEX('Precios Diarios'!$F$2:$F$495, $G$8 - 1 + 119 - 1), NA())</f>
        <v/>
      </c>
    </row>
    <row r="121">
      <c r="P121" s="2">
        <f>IF(120&lt;=$I$8, INDEX('Precios Diarios'!$A$2:$A$495, $G$8 - 1 + 120 - 1), NA())</f>
        <v/>
      </c>
      <c r="Q121">
        <f>IF(120&lt;=$I$8, INDEX('Precios Diarios'!$E$2:$E$495, $G$8 - 1 + 120 - 1), NA())</f>
        <v/>
      </c>
      <c r="R121">
        <f>IF(120&lt;=$I$8, INDEX('Precios Diarios'!$F$2:$F$495, $G$8 - 1 + 120 - 1), NA())</f>
        <v/>
      </c>
    </row>
    <row r="122">
      <c r="P122" s="2">
        <f>IF(121&lt;=$I$8, INDEX('Precios Diarios'!$A$2:$A$495, $G$8 - 1 + 121 - 1), NA())</f>
        <v/>
      </c>
      <c r="Q122">
        <f>IF(121&lt;=$I$8, INDEX('Precios Diarios'!$E$2:$E$495, $G$8 - 1 + 121 - 1), NA())</f>
        <v/>
      </c>
      <c r="R122">
        <f>IF(121&lt;=$I$8, INDEX('Precios Diarios'!$F$2:$F$495, $G$8 - 1 + 121 - 1), NA())</f>
        <v/>
      </c>
    </row>
    <row r="123">
      <c r="P123" s="2">
        <f>IF(122&lt;=$I$8, INDEX('Precios Diarios'!$A$2:$A$495, $G$8 - 1 + 122 - 1), NA())</f>
        <v/>
      </c>
      <c r="Q123">
        <f>IF(122&lt;=$I$8, INDEX('Precios Diarios'!$E$2:$E$495, $G$8 - 1 + 122 - 1), NA())</f>
        <v/>
      </c>
      <c r="R123">
        <f>IF(122&lt;=$I$8, INDEX('Precios Diarios'!$F$2:$F$495, $G$8 - 1 + 122 - 1), NA())</f>
        <v/>
      </c>
    </row>
    <row r="124">
      <c r="P124" s="2">
        <f>IF(123&lt;=$I$8, INDEX('Precios Diarios'!$A$2:$A$495, $G$8 - 1 + 123 - 1), NA())</f>
        <v/>
      </c>
      <c r="Q124">
        <f>IF(123&lt;=$I$8, INDEX('Precios Diarios'!$E$2:$E$495, $G$8 - 1 + 123 - 1), NA())</f>
        <v/>
      </c>
      <c r="R124">
        <f>IF(123&lt;=$I$8, INDEX('Precios Diarios'!$F$2:$F$495, $G$8 - 1 + 123 - 1), NA())</f>
        <v/>
      </c>
    </row>
    <row r="125">
      <c r="P125" s="2">
        <f>IF(124&lt;=$I$8, INDEX('Precios Diarios'!$A$2:$A$495, $G$8 - 1 + 124 - 1), NA())</f>
        <v/>
      </c>
      <c r="Q125">
        <f>IF(124&lt;=$I$8, INDEX('Precios Diarios'!$E$2:$E$495, $G$8 - 1 + 124 - 1), NA())</f>
        <v/>
      </c>
      <c r="R125">
        <f>IF(124&lt;=$I$8, INDEX('Precios Diarios'!$F$2:$F$495, $G$8 - 1 + 124 - 1), NA())</f>
        <v/>
      </c>
    </row>
    <row r="126">
      <c r="P126" s="2">
        <f>IF(125&lt;=$I$8, INDEX('Precios Diarios'!$A$2:$A$495, $G$8 - 1 + 125 - 1), NA())</f>
        <v/>
      </c>
      <c r="Q126">
        <f>IF(125&lt;=$I$8, INDEX('Precios Diarios'!$E$2:$E$495, $G$8 - 1 + 125 - 1), NA())</f>
        <v/>
      </c>
      <c r="R126">
        <f>IF(125&lt;=$I$8, INDEX('Precios Diarios'!$F$2:$F$495, $G$8 - 1 + 125 - 1), NA())</f>
        <v/>
      </c>
    </row>
    <row r="127">
      <c r="P127" s="2">
        <f>IF(126&lt;=$I$8, INDEX('Precios Diarios'!$A$2:$A$495, $G$8 - 1 + 126 - 1), NA())</f>
        <v/>
      </c>
      <c r="Q127">
        <f>IF(126&lt;=$I$8, INDEX('Precios Diarios'!$E$2:$E$495, $G$8 - 1 + 126 - 1), NA())</f>
        <v/>
      </c>
      <c r="R127">
        <f>IF(126&lt;=$I$8, INDEX('Precios Diarios'!$F$2:$F$495, $G$8 - 1 + 126 - 1), NA())</f>
        <v/>
      </c>
    </row>
    <row r="128">
      <c r="P128" s="2">
        <f>IF(127&lt;=$I$8, INDEX('Precios Diarios'!$A$2:$A$495, $G$8 - 1 + 127 - 1), NA())</f>
        <v/>
      </c>
      <c r="Q128">
        <f>IF(127&lt;=$I$8, INDEX('Precios Diarios'!$E$2:$E$495, $G$8 - 1 + 127 - 1), NA())</f>
        <v/>
      </c>
      <c r="R128">
        <f>IF(127&lt;=$I$8, INDEX('Precios Diarios'!$F$2:$F$495, $G$8 - 1 + 127 - 1), NA())</f>
        <v/>
      </c>
    </row>
    <row r="129">
      <c r="P129" s="2">
        <f>IF(128&lt;=$I$8, INDEX('Precios Diarios'!$A$2:$A$495, $G$8 - 1 + 128 - 1), NA())</f>
        <v/>
      </c>
      <c r="Q129">
        <f>IF(128&lt;=$I$8, INDEX('Precios Diarios'!$E$2:$E$495, $G$8 - 1 + 128 - 1), NA())</f>
        <v/>
      </c>
      <c r="R129">
        <f>IF(128&lt;=$I$8, INDEX('Precios Diarios'!$F$2:$F$495, $G$8 - 1 + 128 - 1), NA())</f>
        <v/>
      </c>
    </row>
    <row r="130">
      <c r="P130" s="2">
        <f>IF(129&lt;=$I$8, INDEX('Precios Diarios'!$A$2:$A$495, $G$8 - 1 + 129 - 1), NA())</f>
        <v/>
      </c>
      <c r="Q130">
        <f>IF(129&lt;=$I$8, INDEX('Precios Diarios'!$E$2:$E$495, $G$8 - 1 + 129 - 1), NA())</f>
        <v/>
      </c>
      <c r="R130">
        <f>IF(129&lt;=$I$8, INDEX('Precios Diarios'!$F$2:$F$495, $G$8 - 1 + 129 - 1), NA())</f>
        <v/>
      </c>
    </row>
    <row r="131">
      <c r="P131" s="2">
        <f>IF(130&lt;=$I$8, INDEX('Precios Diarios'!$A$2:$A$495, $G$8 - 1 + 130 - 1), NA())</f>
        <v/>
      </c>
      <c r="Q131">
        <f>IF(130&lt;=$I$8, INDEX('Precios Diarios'!$E$2:$E$495, $G$8 - 1 + 130 - 1), NA())</f>
        <v/>
      </c>
      <c r="R131">
        <f>IF(130&lt;=$I$8, INDEX('Precios Diarios'!$F$2:$F$495, $G$8 - 1 + 130 - 1), NA())</f>
        <v/>
      </c>
    </row>
    <row r="132">
      <c r="P132" s="2">
        <f>IF(131&lt;=$I$8, INDEX('Precios Diarios'!$A$2:$A$495, $G$8 - 1 + 131 - 1), NA())</f>
        <v/>
      </c>
      <c r="Q132">
        <f>IF(131&lt;=$I$8, INDEX('Precios Diarios'!$E$2:$E$495, $G$8 - 1 + 131 - 1), NA())</f>
        <v/>
      </c>
      <c r="R132">
        <f>IF(131&lt;=$I$8, INDEX('Precios Diarios'!$F$2:$F$495, $G$8 - 1 + 131 - 1), NA())</f>
        <v/>
      </c>
    </row>
    <row r="133">
      <c r="P133" s="2">
        <f>IF(132&lt;=$I$8, INDEX('Precios Diarios'!$A$2:$A$495, $G$8 - 1 + 132 - 1), NA())</f>
        <v/>
      </c>
      <c r="Q133">
        <f>IF(132&lt;=$I$8, INDEX('Precios Diarios'!$E$2:$E$495, $G$8 - 1 + 132 - 1), NA())</f>
        <v/>
      </c>
      <c r="R133">
        <f>IF(132&lt;=$I$8, INDEX('Precios Diarios'!$F$2:$F$495, $G$8 - 1 + 132 - 1), NA())</f>
        <v/>
      </c>
    </row>
    <row r="134">
      <c r="P134" s="2">
        <f>IF(133&lt;=$I$8, INDEX('Precios Diarios'!$A$2:$A$495, $G$8 - 1 + 133 - 1), NA())</f>
        <v/>
      </c>
      <c r="Q134">
        <f>IF(133&lt;=$I$8, INDEX('Precios Diarios'!$E$2:$E$495, $G$8 - 1 + 133 - 1), NA())</f>
        <v/>
      </c>
      <c r="R134">
        <f>IF(133&lt;=$I$8, INDEX('Precios Diarios'!$F$2:$F$495, $G$8 - 1 + 133 - 1), NA())</f>
        <v/>
      </c>
    </row>
    <row r="135">
      <c r="P135" s="2">
        <f>IF(134&lt;=$I$8, INDEX('Precios Diarios'!$A$2:$A$495, $G$8 - 1 + 134 - 1), NA())</f>
        <v/>
      </c>
      <c r="Q135">
        <f>IF(134&lt;=$I$8, INDEX('Precios Diarios'!$E$2:$E$495, $G$8 - 1 + 134 - 1), NA())</f>
        <v/>
      </c>
      <c r="R135">
        <f>IF(134&lt;=$I$8, INDEX('Precios Diarios'!$F$2:$F$495, $G$8 - 1 + 134 - 1), NA())</f>
        <v/>
      </c>
    </row>
    <row r="136">
      <c r="P136" s="2">
        <f>IF(135&lt;=$I$8, INDEX('Precios Diarios'!$A$2:$A$495, $G$8 - 1 + 135 - 1), NA())</f>
        <v/>
      </c>
      <c r="Q136">
        <f>IF(135&lt;=$I$8, INDEX('Precios Diarios'!$E$2:$E$495, $G$8 - 1 + 135 - 1), NA())</f>
        <v/>
      </c>
      <c r="R136">
        <f>IF(135&lt;=$I$8, INDEX('Precios Diarios'!$F$2:$F$495, $G$8 - 1 + 135 - 1), NA())</f>
        <v/>
      </c>
    </row>
    <row r="137">
      <c r="P137" s="2">
        <f>IF(136&lt;=$I$8, INDEX('Precios Diarios'!$A$2:$A$495, $G$8 - 1 + 136 - 1), NA())</f>
        <v/>
      </c>
      <c r="Q137">
        <f>IF(136&lt;=$I$8, INDEX('Precios Diarios'!$E$2:$E$495, $G$8 - 1 + 136 - 1), NA())</f>
        <v/>
      </c>
      <c r="R137">
        <f>IF(136&lt;=$I$8, INDEX('Precios Diarios'!$F$2:$F$495, $G$8 - 1 + 136 - 1), NA())</f>
        <v/>
      </c>
    </row>
    <row r="138">
      <c r="P138" s="2">
        <f>IF(137&lt;=$I$8, INDEX('Precios Diarios'!$A$2:$A$495, $G$8 - 1 + 137 - 1), NA())</f>
        <v/>
      </c>
      <c r="Q138">
        <f>IF(137&lt;=$I$8, INDEX('Precios Diarios'!$E$2:$E$495, $G$8 - 1 + 137 - 1), NA())</f>
        <v/>
      </c>
      <c r="R138">
        <f>IF(137&lt;=$I$8, INDEX('Precios Diarios'!$F$2:$F$495, $G$8 - 1 + 137 - 1), NA())</f>
        <v/>
      </c>
    </row>
    <row r="139">
      <c r="P139" s="2">
        <f>IF(138&lt;=$I$8, INDEX('Precios Diarios'!$A$2:$A$495, $G$8 - 1 + 138 - 1), NA())</f>
        <v/>
      </c>
      <c r="Q139">
        <f>IF(138&lt;=$I$8, INDEX('Precios Diarios'!$E$2:$E$495, $G$8 - 1 + 138 - 1), NA())</f>
        <v/>
      </c>
      <c r="R139">
        <f>IF(138&lt;=$I$8, INDEX('Precios Diarios'!$F$2:$F$495, $G$8 - 1 + 138 - 1), NA())</f>
        <v/>
      </c>
    </row>
    <row r="140">
      <c r="P140" s="2">
        <f>IF(139&lt;=$I$8, INDEX('Precios Diarios'!$A$2:$A$495, $G$8 - 1 + 139 - 1), NA())</f>
        <v/>
      </c>
      <c r="Q140">
        <f>IF(139&lt;=$I$8, INDEX('Precios Diarios'!$E$2:$E$495, $G$8 - 1 + 139 - 1), NA())</f>
        <v/>
      </c>
      <c r="R140">
        <f>IF(139&lt;=$I$8, INDEX('Precios Diarios'!$F$2:$F$495, $G$8 - 1 + 139 - 1), NA())</f>
        <v/>
      </c>
    </row>
    <row r="141">
      <c r="P141" s="2">
        <f>IF(140&lt;=$I$8, INDEX('Precios Diarios'!$A$2:$A$495, $G$8 - 1 + 140 - 1), NA())</f>
        <v/>
      </c>
      <c r="Q141">
        <f>IF(140&lt;=$I$8, INDEX('Precios Diarios'!$E$2:$E$495, $G$8 - 1 + 140 - 1), NA())</f>
        <v/>
      </c>
      <c r="R141">
        <f>IF(140&lt;=$I$8, INDEX('Precios Diarios'!$F$2:$F$495, $G$8 - 1 + 140 - 1), NA())</f>
        <v/>
      </c>
    </row>
    <row r="142">
      <c r="P142" s="2">
        <f>IF(141&lt;=$I$8, INDEX('Precios Diarios'!$A$2:$A$495, $G$8 - 1 + 141 - 1), NA())</f>
        <v/>
      </c>
      <c r="Q142">
        <f>IF(141&lt;=$I$8, INDEX('Precios Diarios'!$E$2:$E$495, $G$8 - 1 + 141 - 1), NA())</f>
        <v/>
      </c>
      <c r="R142">
        <f>IF(141&lt;=$I$8, INDEX('Precios Diarios'!$F$2:$F$495, $G$8 - 1 + 141 - 1), NA())</f>
        <v/>
      </c>
    </row>
    <row r="143">
      <c r="P143" s="2">
        <f>IF(142&lt;=$I$8, INDEX('Precios Diarios'!$A$2:$A$495, $G$8 - 1 + 142 - 1), NA())</f>
        <v/>
      </c>
      <c r="Q143">
        <f>IF(142&lt;=$I$8, INDEX('Precios Diarios'!$E$2:$E$495, $G$8 - 1 + 142 - 1), NA())</f>
        <v/>
      </c>
      <c r="R143">
        <f>IF(142&lt;=$I$8, INDEX('Precios Diarios'!$F$2:$F$495, $G$8 - 1 + 142 - 1), NA())</f>
        <v/>
      </c>
    </row>
    <row r="144">
      <c r="P144" s="2">
        <f>IF(143&lt;=$I$8, INDEX('Precios Diarios'!$A$2:$A$495, $G$8 - 1 + 143 - 1), NA())</f>
        <v/>
      </c>
      <c r="Q144">
        <f>IF(143&lt;=$I$8, INDEX('Precios Diarios'!$E$2:$E$495, $G$8 - 1 + 143 - 1), NA())</f>
        <v/>
      </c>
      <c r="R144">
        <f>IF(143&lt;=$I$8, INDEX('Precios Diarios'!$F$2:$F$495, $G$8 - 1 + 143 - 1), NA())</f>
        <v/>
      </c>
    </row>
    <row r="145">
      <c r="P145" s="2">
        <f>IF(144&lt;=$I$8, INDEX('Precios Diarios'!$A$2:$A$495, $G$8 - 1 + 144 - 1), NA())</f>
        <v/>
      </c>
      <c r="Q145">
        <f>IF(144&lt;=$I$8, INDEX('Precios Diarios'!$E$2:$E$495, $G$8 - 1 + 144 - 1), NA())</f>
        <v/>
      </c>
      <c r="R145">
        <f>IF(144&lt;=$I$8, INDEX('Precios Diarios'!$F$2:$F$495, $G$8 - 1 + 144 - 1), NA())</f>
        <v/>
      </c>
    </row>
    <row r="146">
      <c r="P146" s="2">
        <f>IF(145&lt;=$I$8, INDEX('Precios Diarios'!$A$2:$A$495, $G$8 - 1 + 145 - 1), NA())</f>
        <v/>
      </c>
      <c r="Q146">
        <f>IF(145&lt;=$I$8, INDEX('Precios Diarios'!$E$2:$E$495, $G$8 - 1 + 145 - 1), NA())</f>
        <v/>
      </c>
      <c r="R146">
        <f>IF(145&lt;=$I$8, INDEX('Precios Diarios'!$F$2:$F$495, $G$8 - 1 + 145 - 1), NA())</f>
        <v/>
      </c>
    </row>
    <row r="147">
      <c r="P147" s="2">
        <f>IF(146&lt;=$I$8, INDEX('Precios Diarios'!$A$2:$A$495, $G$8 - 1 + 146 - 1), NA())</f>
        <v/>
      </c>
      <c r="Q147">
        <f>IF(146&lt;=$I$8, INDEX('Precios Diarios'!$E$2:$E$495, $G$8 - 1 + 146 - 1), NA())</f>
        <v/>
      </c>
      <c r="R147">
        <f>IF(146&lt;=$I$8, INDEX('Precios Diarios'!$F$2:$F$495, $G$8 - 1 + 146 - 1), NA())</f>
        <v/>
      </c>
    </row>
    <row r="148">
      <c r="P148" s="2">
        <f>IF(147&lt;=$I$8, INDEX('Precios Diarios'!$A$2:$A$495, $G$8 - 1 + 147 - 1), NA())</f>
        <v/>
      </c>
      <c r="Q148">
        <f>IF(147&lt;=$I$8, INDEX('Precios Diarios'!$E$2:$E$495, $G$8 - 1 + 147 - 1), NA())</f>
        <v/>
      </c>
      <c r="R148">
        <f>IF(147&lt;=$I$8, INDEX('Precios Diarios'!$F$2:$F$495, $G$8 - 1 + 147 - 1), NA())</f>
        <v/>
      </c>
    </row>
    <row r="149">
      <c r="P149" s="2">
        <f>IF(148&lt;=$I$8, INDEX('Precios Diarios'!$A$2:$A$495, $G$8 - 1 + 148 - 1), NA())</f>
        <v/>
      </c>
      <c r="Q149">
        <f>IF(148&lt;=$I$8, INDEX('Precios Diarios'!$E$2:$E$495, $G$8 - 1 + 148 - 1), NA())</f>
        <v/>
      </c>
      <c r="R149">
        <f>IF(148&lt;=$I$8, INDEX('Precios Diarios'!$F$2:$F$495, $G$8 - 1 + 148 - 1), NA())</f>
        <v/>
      </c>
    </row>
    <row r="150">
      <c r="P150" s="2">
        <f>IF(149&lt;=$I$8, INDEX('Precios Diarios'!$A$2:$A$495, $G$8 - 1 + 149 - 1), NA())</f>
        <v/>
      </c>
      <c r="Q150">
        <f>IF(149&lt;=$I$8, INDEX('Precios Diarios'!$E$2:$E$495, $G$8 - 1 + 149 - 1), NA())</f>
        <v/>
      </c>
      <c r="R150">
        <f>IF(149&lt;=$I$8, INDEX('Precios Diarios'!$F$2:$F$495, $G$8 - 1 + 149 - 1), NA())</f>
        <v/>
      </c>
    </row>
    <row r="151">
      <c r="P151" s="2">
        <f>IF(150&lt;=$I$8, INDEX('Precios Diarios'!$A$2:$A$495, $G$8 - 1 + 150 - 1), NA())</f>
        <v/>
      </c>
      <c r="Q151">
        <f>IF(150&lt;=$I$8, INDEX('Precios Diarios'!$E$2:$E$495, $G$8 - 1 + 150 - 1), NA())</f>
        <v/>
      </c>
      <c r="R151">
        <f>IF(150&lt;=$I$8, INDEX('Precios Diarios'!$F$2:$F$495, $G$8 - 1 + 150 - 1), NA())</f>
        <v/>
      </c>
    </row>
    <row r="152">
      <c r="P152" s="2">
        <f>IF(151&lt;=$I$8, INDEX('Precios Diarios'!$A$2:$A$495, $G$8 - 1 + 151 - 1), NA())</f>
        <v/>
      </c>
      <c r="Q152">
        <f>IF(151&lt;=$I$8, INDEX('Precios Diarios'!$E$2:$E$495, $G$8 - 1 + 151 - 1), NA())</f>
        <v/>
      </c>
      <c r="R152">
        <f>IF(151&lt;=$I$8, INDEX('Precios Diarios'!$F$2:$F$495, $G$8 - 1 + 151 - 1), NA())</f>
        <v/>
      </c>
    </row>
    <row r="153">
      <c r="P153" s="2">
        <f>IF(152&lt;=$I$8, INDEX('Precios Diarios'!$A$2:$A$495, $G$8 - 1 + 152 - 1), NA())</f>
        <v/>
      </c>
      <c r="Q153">
        <f>IF(152&lt;=$I$8, INDEX('Precios Diarios'!$E$2:$E$495, $G$8 - 1 + 152 - 1), NA())</f>
        <v/>
      </c>
      <c r="R153">
        <f>IF(152&lt;=$I$8, INDEX('Precios Diarios'!$F$2:$F$495, $G$8 - 1 + 152 - 1), NA())</f>
        <v/>
      </c>
    </row>
    <row r="154">
      <c r="P154" s="2">
        <f>IF(153&lt;=$I$8, INDEX('Precios Diarios'!$A$2:$A$495, $G$8 - 1 + 153 - 1), NA())</f>
        <v/>
      </c>
      <c r="Q154">
        <f>IF(153&lt;=$I$8, INDEX('Precios Diarios'!$E$2:$E$495, $G$8 - 1 + 153 - 1), NA())</f>
        <v/>
      </c>
      <c r="R154">
        <f>IF(153&lt;=$I$8, INDEX('Precios Diarios'!$F$2:$F$495, $G$8 - 1 + 153 - 1), NA())</f>
        <v/>
      </c>
    </row>
    <row r="155">
      <c r="P155" s="2">
        <f>IF(154&lt;=$I$8, INDEX('Precios Diarios'!$A$2:$A$495, $G$8 - 1 + 154 - 1), NA())</f>
        <v/>
      </c>
      <c r="Q155">
        <f>IF(154&lt;=$I$8, INDEX('Precios Diarios'!$E$2:$E$495, $G$8 - 1 + 154 - 1), NA())</f>
        <v/>
      </c>
      <c r="R155">
        <f>IF(154&lt;=$I$8, INDEX('Precios Diarios'!$F$2:$F$495, $G$8 - 1 + 154 - 1), NA())</f>
        <v/>
      </c>
    </row>
    <row r="156">
      <c r="P156" s="2">
        <f>IF(155&lt;=$I$8, INDEX('Precios Diarios'!$A$2:$A$495, $G$8 - 1 + 155 - 1), NA())</f>
        <v/>
      </c>
      <c r="Q156">
        <f>IF(155&lt;=$I$8, INDEX('Precios Diarios'!$E$2:$E$495, $G$8 - 1 + 155 - 1), NA())</f>
        <v/>
      </c>
      <c r="R156">
        <f>IF(155&lt;=$I$8, INDEX('Precios Diarios'!$F$2:$F$495, $G$8 - 1 + 155 - 1), NA())</f>
        <v/>
      </c>
    </row>
    <row r="157">
      <c r="P157" s="2">
        <f>IF(156&lt;=$I$8, INDEX('Precios Diarios'!$A$2:$A$495, $G$8 - 1 + 156 - 1), NA())</f>
        <v/>
      </c>
      <c r="Q157">
        <f>IF(156&lt;=$I$8, INDEX('Precios Diarios'!$E$2:$E$495, $G$8 - 1 + 156 - 1), NA())</f>
        <v/>
      </c>
      <c r="R157">
        <f>IF(156&lt;=$I$8, INDEX('Precios Diarios'!$F$2:$F$495, $G$8 - 1 + 156 - 1), NA())</f>
        <v/>
      </c>
    </row>
    <row r="158">
      <c r="P158" s="2">
        <f>IF(157&lt;=$I$8, INDEX('Precios Diarios'!$A$2:$A$495, $G$8 - 1 + 157 - 1), NA())</f>
        <v/>
      </c>
      <c r="Q158">
        <f>IF(157&lt;=$I$8, INDEX('Precios Diarios'!$E$2:$E$495, $G$8 - 1 + 157 - 1), NA())</f>
        <v/>
      </c>
      <c r="R158">
        <f>IF(157&lt;=$I$8, INDEX('Precios Diarios'!$F$2:$F$495, $G$8 - 1 + 157 - 1), NA())</f>
        <v/>
      </c>
    </row>
    <row r="159">
      <c r="P159" s="2">
        <f>IF(158&lt;=$I$8, INDEX('Precios Diarios'!$A$2:$A$495, $G$8 - 1 + 158 - 1), NA())</f>
        <v/>
      </c>
      <c r="Q159">
        <f>IF(158&lt;=$I$8, INDEX('Precios Diarios'!$E$2:$E$495, $G$8 - 1 + 158 - 1), NA())</f>
        <v/>
      </c>
      <c r="R159">
        <f>IF(158&lt;=$I$8, INDEX('Precios Diarios'!$F$2:$F$495, $G$8 - 1 + 158 - 1), NA())</f>
        <v/>
      </c>
    </row>
    <row r="160">
      <c r="P160" s="2">
        <f>IF(159&lt;=$I$8, INDEX('Precios Diarios'!$A$2:$A$495, $G$8 - 1 + 159 - 1), NA())</f>
        <v/>
      </c>
      <c r="Q160">
        <f>IF(159&lt;=$I$8, INDEX('Precios Diarios'!$E$2:$E$495, $G$8 - 1 + 159 - 1), NA())</f>
        <v/>
      </c>
      <c r="R160">
        <f>IF(159&lt;=$I$8, INDEX('Precios Diarios'!$F$2:$F$495, $G$8 - 1 + 159 - 1), NA())</f>
        <v/>
      </c>
    </row>
    <row r="161">
      <c r="P161" s="2">
        <f>IF(160&lt;=$I$8, INDEX('Precios Diarios'!$A$2:$A$495, $G$8 - 1 + 160 - 1), NA())</f>
        <v/>
      </c>
      <c r="Q161">
        <f>IF(160&lt;=$I$8, INDEX('Precios Diarios'!$E$2:$E$495, $G$8 - 1 + 160 - 1), NA())</f>
        <v/>
      </c>
      <c r="R161">
        <f>IF(160&lt;=$I$8, INDEX('Precios Diarios'!$F$2:$F$495, $G$8 - 1 + 160 - 1), NA())</f>
        <v/>
      </c>
    </row>
    <row r="162">
      <c r="P162" s="2">
        <f>IF(161&lt;=$I$8, INDEX('Precios Diarios'!$A$2:$A$495, $G$8 - 1 + 161 - 1), NA())</f>
        <v/>
      </c>
      <c r="Q162">
        <f>IF(161&lt;=$I$8, INDEX('Precios Diarios'!$E$2:$E$495, $G$8 - 1 + 161 - 1), NA())</f>
        <v/>
      </c>
      <c r="R162">
        <f>IF(161&lt;=$I$8, INDEX('Precios Diarios'!$F$2:$F$495, $G$8 - 1 + 161 - 1), NA())</f>
        <v/>
      </c>
    </row>
    <row r="163">
      <c r="P163" s="2">
        <f>IF(162&lt;=$I$8, INDEX('Precios Diarios'!$A$2:$A$495, $G$8 - 1 + 162 - 1), NA())</f>
        <v/>
      </c>
      <c r="Q163">
        <f>IF(162&lt;=$I$8, INDEX('Precios Diarios'!$E$2:$E$495, $G$8 - 1 + 162 - 1), NA())</f>
        <v/>
      </c>
      <c r="R163">
        <f>IF(162&lt;=$I$8, INDEX('Precios Diarios'!$F$2:$F$495, $G$8 - 1 + 162 - 1), NA())</f>
        <v/>
      </c>
    </row>
    <row r="164">
      <c r="P164" s="2">
        <f>IF(163&lt;=$I$8, INDEX('Precios Diarios'!$A$2:$A$495, $G$8 - 1 + 163 - 1), NA())</f>
        <v/>
      </c>
      <c r="Q164">
        <f>IF(163&lt;=$I$8, INDEX('Precios Diarios'!$E$2:$E$495, $G$8 - 1 + 163 - 1), NA())</f>
        <v/>
      </c>
      <c r="R164">
        <f>IF(163&lt;=$I$8, INDEX('Precios Diarios'!$F$2:$F$495, $G$8 - 1 + 163 - 1), NA())</f>
        <v/>
      </c>
    </row>
    <row r="165">
      <c r="P165" s="2">
        <f>IF(164&lt;=$I$8, INDEX('Precios Diarios'!$A$2:$A$495, $G$8 - 1 + 164 - 1), NA())</f>
        <v/>
      </c>
      <c r="Q165">
        <f>IF(164&lt;=$I$8, INDEX('Precios Diarios'!$E$2:$E$495, $G$8 - 1 + 164 - 1), NA())</f>
        <v/>
      </c>
      <c r="R165">
        <f>IF(164&lt;=$I$8, INDEX('Precios Diarios'!$F$2:$F$495, $G$8 - 1 + 164 - 1), NA())</f>
        <v/>
      </c>
    </row>
    <row r="166">
      <c r="P166" s="2">
        <f>IF(165&lt;=$I$8, INDEX('Precios Diarios'!$A$2:$A$495, $G$8 - 1 + 165 - 1), NA())</f>
        <v/>
      </c>
      <c r="Q166">
        <f>IF(165&lt;=$I$8, INDEX('Precios Diarios'!$E$2:$E$495, $G$8 - 1 + 165 - 1), NA())</f>
        <v/>
      </c>
      <c r="R166">
        <f>IF(165&lt;=$I$8, INDEX('Precios Diarios'!$F$2:$F$495, $G$8 - 1 + 165 - 1), NA())</f>
        <v/>
      </c>
    </row>
    <row r="167">
      <c r="P167" s="2">
        <f>IF(166&lt;=$I$8, INDEX('Precios Diarios'!$A$2:$A$495, $G$8 - 1 + 166 - 1), NA())</f>
        <v/>
      </c>
      <c r="Q167">
        <f>IF(166&lt;=$I$8, INDEX('Precios Diarios'!$E$2:$E$495, $G$8 - 1 + 166 - 1), NA())</f>
        <v/>
      </c>
      <c r="R167">
        <f>IF(166&lt;=$I$8, INDEX('Precios Diarios'!$F$2:$F$495, $G$8 - 1 + 166 - 1), NA())</f>
        <v/>
      </c>
    </row>
    <row r="168">
      <c r="P168" s="2">
        <f>IF(167&lt;=$I$8, INDEX('Precios Diarios'!$A$2:$A$495, $G$8 - 1 + 167 - 1), NA())</f>
        <v/>
      </c>
      <c r="Q168">
        <f>IF(167&lt;=$I$8, INDEX('Precios Diarios'!$E$2:$E$495, $G$8 - 1 + 167 - 1), NA())</f>
        <v/>
      </c>
      <c r="R168">
        <f>IF(167&lt;=$I$8, INDEX('Precios Diarios'!$F$2:$F$495, $G$8 - 1 + 167 - 1), NA())</f>
        <v/>
      </c>
    </row>
    <row r="169">
      <c r="P169" s="2">
        <f>IF(168&lt;=$I$8, INDEX('Precios Diarios'!$A$2:$A$495, $G$8 - 1 + 168 - 1), NA())</f>
        <v/>
      </c>
      <c r="Q169">
        <f>IF(168&lt;=$I$8, INDEX('Precios Diarios'!$E$2:$E$495, $G$8 - 1 + 168 - 1), NA())</f>
        <v/>
      </c>
      <c r="R169">
        <f>IF(168&lt;=$I$8, INDEX('Precios Diarios'!$F$2:$F$495, $G$8 - 1 + 168 - 1), NA())</f>
        <v/>
      </c>
    </row>
    <row r="170">
      <c r="P170" s="2">
        <f>IF(169&lt;=$I$8, INDEX('Precios Diarios'!$A$2:$A$495, $G$8 - 1 + 169 - 1), NA())</f>
        <v/>
      </c>
      <c r="Q170">
        <f>IF(169&lt;=$I$8, INDEX('Precios Diarios'!$E$2:$E$495, $G$8 - 1 + 169 - 1), NA())</f>
        <v/>
      </c>
      <c r="R170">
        <f>IF(169&lt;=$I$8, INDEX('Precios Diarios'!$F$2:$F$495, $G$8 - 1 + 169 - 1), NA())</f>
        <v/>
      </c>
    </row>
    <row r="171">
      <c r="P171" s="2">
        <f>IF(170&lt;=$I$8, INDEX('Precios Diarios'!$A$2:$A$495, $G$8 - 1 + 170 - 1), NA())</f>
        <v/>
      </c>
      <c r="Q171">
        <f>IF(170&lt;=$I$8, INDEX('Precios Diarios'!$E$2:$E$495, $G$8 - 1 + 170 - 1), NA())</f>
        <v/>
      </c>
      <c r="R171">
        <f>IF(170&lt;=$I$8, INDEX('Precios Diarios'!$F$2:$F$495, $G$8 - 1 + 170 - 1), NA())</f>
        <v/>
      </c>
    </row>
    <row r="172">
      <c r="P172" s="2">
        <f>IF(171&lt;=$I$8, INDEX('Precios Diarios'!$A$2:$A$495, $G$8 - 1 + 171 - 1), NA())</f>
        <v/>
      </c>
      <c r="Q172">
        <f>IF(171&lt;=$I$8, INDEX('Precios Diarios'!$E$2:$E$495, $G$8 - 1 + 171 - 1), NA())</f>
        <v/>
      </c>
      <c r="R172">
        <f>IF(171&lt;=$I$8, INDEX('Precios Diarios'!$F$2:$F$495, $G$8 - 1 + 171 - 1), NA())</f>
        <v/>
      </c>
    </row>
    <row r="173">
      <c r="P173" s="2">
        <f>IF(172&lt;=$I$8, INDEX('Precios Diarios'!$A$2:$A$495, $G$8 - 1 + 172 - 1), NA())</f>
        <v/>
      </c>
      <c r="Q173">
        <f>IF(172&lt;=$I$8, INDEX('Precios Diarios'!$E$2:$E$495, $G$8 - 1 + 172 - 1), NA())</f>
        <v/>
      </c>
      <c r="R173">
        <f>IF(172&lt;=$I$8, INDEX('Precios Diarios'!$F$2:$F$495, $G$8 - 1 + 172 - 1), NA())</f>
        <v/>
      </c>
    </row>
    <row r="174">
      <c r="P174" s="2">
        <f>IF(173&lt;=$I$8, INDEX('Precios Diarios'!$A$2:$A$495, $G$8 - 1 + 173 - 1), NA())</f>
        <v/>
      </c>
      <c r="Q174">
        <f>IF(173&lt;=$I$8, INDEX('Precios Diarios'!$E$2:$E$495, $G$8 - 1 + 173 - 1), NA())</f>
        <v/>
      </c>
      <c r="R174">
        <f>IF(173&lt;=$I$8, INDEX('Precios Diarios'!$F$2:$F$495, $G$8 - 1 + 173 - 1), NA())</f>
        <v/>
      </c>
    </row>
    <row r="175">
      <c r="P175" s="2">
        <f>IF(174&lt;=$I$8, INDEX('Precios Diarios'!$A$2:$A$495, $G$8 - 1 + 174 - 1), NA())</f>
        <v/>
      </c>
      <c r="Q175">
        <f>IF(174&lt;=$I$8, INDEX('Precios Diarios'!$E$2:$E$495, $G$8 - 1 + 174 - 1), NA())</f>
        <v/>
      </c>
      <c r="R175">
        <f>IF(174&lt;=$I$8, INDEX('Precios Diarios'!$F$2:$F$495, $G$8 - 1 + 174 - 1), NA())</f>
        <v/>
      </c>
    </row>
    <row r="176">
      <c r="P176" s="2">
        <f>IF(175&lt;=$I$8, INDEX('Precios Diarios'!$A$2:$A$495, $G$8 - 1 + 175 - 1), NA())</f>
        <v/>
      </c>
      <c r="Q176">
        <f>IF(175&lt;=$I$8, INDEX('Precios Diarios'!$E$2:$E$495, $G$8 - 1 + 175 - 1), NA())</f>
        <v/>
      </c>
      <c r="R176">
        <f>IF(175&lt;=$I$8, INDEX('Precios Diarios'!$F$2:$F$495, $G$8 - 1 + 175 - 1), NA())</f>
        <v/>
      </c>
    </row>
    <row r="177">
      <c r="P177" s="2">
        <f>IF(176&lt;=$I$8, INDEX('Precios Diarios'!$A$2:$A$495, $G$8 - 1 + 176 - 1), NA())</f>
        <v/>
      </c>
      <c r="Q177">
        <f>IF(176&lt;=$I$8, INDEX('Precios Diarios'!$E$2:$E$495, $G$8 - 1 + 176 - 1), NA())</f>
        <v/>
      </c>
      <c r="R177">
        <f>IF(176&lt;=$I$8, INDEX('Precios Diarios'!$F$2:$F$495, $G$8 - 1 + 176 - 1), NA())</f>
        <v/>
      </c>
    </row>
    <row r="178">
      <c r="P178" s="2">
        <f>IF(177&lt;=$I$8, INDEX('Precios Diarios'!$A$2:$A$495, $G$8 - 1 + 177 - 1), NA())</f>
        <v/>
      </c>
      <c r="Q178">
        <f>IF(177&lt;=$I$8, INDEX('Precios Diarios'!$E$2:$E$495, $G$8 - 1 + 177 - 1), NA())</f>
        <v/>
      </c>
      <c r="R178">
        <f>IF(177&lt;=$I$8, INDEX('Precios Diarios'!$F$2:$F$495, $G$8 - 1 + 177 - 1), NA())</f>
        <v/>
      </c>
    </row>
    <row r="179">
      <c r="P179" s="2">
        <f>IF(178&lt;=$I$8, INDEX('Precios Diarios'!$A$2:$A$495, $G$8 - 1 + 178 - 1), NA())</f>
        <v/>
      </c>
      <c r="Q179">
        <f>IF(178&lt;=$I$8, INDEX('Precios Diarios'!$E$2:$E$495, $G$8 - 1 + 178 - 1), NA())</f>
        <v/>
      </c>
      <c r="R179">
        <f>IF(178&lt;=$I$8, INDEX('Precios Diarios'!$F$2:$F$495, $G$8 - 1 + 178 - 1), NA())</f>
        <v/>
      </c>
    </row>
    <row r="180">
      <c r="P180" s="2">
        <f>IF(179&lt;=$I$8, INDEX('Precios Diarios'!$A$2:$A$495, $G$8 - 1 + 179 - 1), NA())</f>
        <v/>
      </c>
      <c r="Q180">
        <f>IF(179&lt;=$I$8, INDEX('Precios Diarios'!$E$2:$E$495, $G$8 - 1 + 179 - 1), NA())</f>
        <v/>
      </c>
      <c r="R180">
        <f>IF(179&lt;=$I$8, INDEX('Precios Diarios'!$F$2:$F$495, $G$8 - 1 + 179 - 1), NA())</f>
        <v/>
      </c>
    </row>
    <row r="181">
      <c r="P181" s="2">
        <f>IF(180&lt;=$I$8, INDEX('Precios Diarios'!$A$2:$A$495, $G$8 - 1 + 180 - 1), NA())</f>
        <v/>
      </c>
      <c r="Q181">
        <f>IF(180&lt;=$I$8, INDEX('Precios Diarios'!$E$2:$E$495, $G$8 - 1 + 180 - 1), NA())</f>
        <v/>
      </c>
      <c r="R181">
        <f>IF(180&lt;=$I$8, INDEX('Precios Diarios'!$F$2:$F$495, $G$8 - 1 + 180 - 1), NA())</f>
        <v/>
      </c>
    </row>
    <row r="182">
      <c r="P182" s="2">
        <f>IF(181&lt;=$I$8, INDEX('Precios Diarios'!$A$2:$A$495, $G$8 - 1 + 181 - 1), NA())</f>
        <v/>
      </c>
      <c r="Q182">
        <f>IF(181&lt;=$I$8, INDEX('Precios Diarios'!$E$2:$E$495, $G$8 - 1 + 181 - 1), NA())</f>
        <v/>
      </c>
      <c r="R182">
        <f>IF(181&lt;=$I$8, INDEX('Precios Diarios'!$F$2:$F$495, $G$8 - 1 + 181 - 1), NA())</f>
        <v/>
      </c>
    </row>
    <row r="183">
      <c r="P183" s="2">
        <f>IF(182&lt;=$I$8, INDEX('Precios Diarios'!$A$2:$A$495, $G$8 - 1 + 182 - 1), NA())</f>
        <v/>
      </c>
      <c r="Q183">
        <f>IF(182&lt;=$I$8, INDEX('Precios Diarios'!$E$2:$E$495, $G$8 - 1 + 182 - 1), NA())</f>
        <v/>
      </c>
      <c r="R183">
        <f>IF(182&lt;=$I$8, INDEX('Precios Diarios'!$F$2:$F$495, $G$8 - 1 + 182 - 1), NA())</f>
        <v/>
      </c>
    </row>
    <row r="184">
      <c r="P184" s="2">
        <f>IF(183&lt;=$I$8, INDEX('Precios Diarios'!$A$2:$A$495, $G$8 - 1 + 183 - 1), NA())</f>
        <v/>
      </c>
      <c r="Q184">
        <f>IF(183&lt;=$I$8, INDEX('Precios Diarios'!$E$2:$E$495, $G$8 - 1 + 183 - 1), NA())</f>
        <v/>
      </c>
      <c r="R184">
        <f>IF(183&lt;=$I$8, INDEX('Precios Diarios'!$F$2:$F$495, $G$8 - 1 + 183 - 1), NA())</f>
        <v/>
      </c>
    </row>
    <row r="185">
      <c r="P185" s="2">
        <f>IF(184&lt;=$I$8, INDEX('Precios Diarios'!$A$2:$A$495, $G$8 - 1 + 184 - 1), NA())</f>
        <v/>
      </c>
      <c r="Q185">
        <f>IF(184&lt;=$I$8, INDEX('Precios Diarios'!$E$2:$E$495, $G$8 - 1 + 184 - 1), NA())</f>
        <v/>
      </c>
      <c r="R185">
        <f>IF(184&lt;=$I$8, INDEX('Precios Diarios'!$F$2:$F$495, $G$8 - 1 + 184 - 1), NA())</f>
        <v/>
      </c>
    </row>
    <row r="186">
      <c r="P186" s="2">
        <f>IF(185&lt;=$I$8, INDEX('Precios Diarios'!$A$2:$A$495, $G$8 - 1 + 185 - 1), NA())</f>
        <v/>
      </c>
      <c r="Q186">
        <f>IF(185&lt;=$I$8, INDEX('Precios Diarios'!$E$2:$E$495, $G$8 - 1 + 185 - 1), NA())</f>
        <v/>
      </c>
      <c r="R186">
        <f>IF(185&lt;=$I$8, INDEX('Precios Diarios'!$F$2:$F$495, $G$8 - 1 + 185 - 1), NA())</f>
        <v/>
      </c>
    </row>
    <row r="187">
      <c r="P187" s="2">
        <f>IF(186&lt;=$I$8, INDEX('Precios Diarios'!$A$2:$A$495, $G$8 - 1 + 186 - 1), NA())</f>
        <v/>
      </c>
      <c r="Q187">
        <f>IF(186&lt;=$I$8, INDEX('Precios Diarios'!$E$2:$E$495, $G$8 - 1 + 186 - 1), NA())</f>
        <v/>
      </c>
      <c r="R187">
        <f>IF(186&lt;=$I$8, INDEX('Precios Diarios'!$F$2:$F$495, $G$8 - 1 + 186 - 1), NA())</f>
        <v/>
      </c>
    </row>
    <row r="188">
      <c r="P188" s="2">
        <f>IF(187&lt;=$I$8, INDEX('Precios Diarios'!$A$2:$A$495, $G$8 - 1 + 187 - 1), NA())</f>
        <v/>
      </c>
      <c r="Q188">
        <f>IF(187&lt;=$I$8, INDEX('Precios Diarios'!$E$2:$E$495, $G$8 - 1 + 187 - 1), NA())</f>
        <v/>
      </c>
      <c r="R188">
        <f>IF(187&lt;=$I$8, INDEX('Precios Diarios'!$F$2:$F$495, $G$8 - 1 + 187 - 1), NA())</f>
        <v/>
      </c>
    </row>
    <row r="189">
      <c r="P189" s="2">
        <f>IF(188&lt;=$I$8, INDEX('Precios Diarios'!$A$2:$A$495, $G$8 - 1 + 188 - 1), NA())</f>
        <v/>
      </c>
      <c r="Q189">
        <f>IF(188&lt;=$I$8, INDEX('Precios Diarios'!$E$2:$E$495, $G$8 - 1 + 188 - 1), NA())</f>
        <v/>
      </c>
      <c r="R189">
        <f>IF(188&lt;=$I$8, INDEX('Precios Diarios'!$F$2:$F$495, $G$8 - 1 + 188 - 1), NA())</f>
        <v/>
      </c>
    </row>
    <row r="190">
      <c r="P190" s="2">
        <f>IF(189&lt;=$I$8, INDEX('Precios Diarios'!$A$2:$A$495, $G$8 - 1 + 189 - 1), NA())</f>
        <v/>
      </c>
      <c r="Q190">
        <f>IF(189&lt;=$I$8, INDEX('Precios Diarios'!$E$2:$E$495, $G$8 - 1 + 189 - 1), NA())</f>
        <v/>
      </c>
      <c r="R190">
        <f>IF(189&lt;=$I$8, INDEX('Precios Diarios'!$F$2:$F$495, $G$8 - 1 + 189 - 1), NA())</f>
        <v/>
      </c>
    </row>
    <row r="191">
      <c r="P191" s="2">
        <f>IF(190&lt;=$I$8, INDEX('Precios Diarios'!$A$2:$A$495, $G$8 - 1 + 190 - 1), NA())</f>
        <v/>
      </c>
      <c r="Q191">
        <f>IF(190&lt;=$I$8, INDEX('Precios Diarios'!$E$2:$E$495, $G$8 - 1 + 190 - 1), NA())</f>
        <v/>
      </c>
      <c r="R191">
        <f>IF(190&lt;=$I$8, INDEX('Precios Diarios'!$F$2:$F$495, $G$8 - 1 + 190 - 1), NA())</f>
        <v/>
      </c>
    </row>
    <row r="192">
      <c r="P192" s="2">
        <f>IF(191&lt;=$I$8, INDEX('Precios Diarios'!$A$2:$A$495, $G$8 - 1 + 191 - 1), NA())</f>
        <v/>
      </c>
      <c r="Q192">
        <f>IF(191&lt;=$I$8, INDEX('Precios Diarios'!$E$2:$E$495, $G$8 - 1 + 191 - 1), NA())</f>
        <v/>
      </c>
      <c r="R192">
        <f>IF(191&lt;=$I$8, INDEX('Precios Diarios'!$F$2:$F$495, $G$8 - 1 + 191 - 1), NA())</f>
        <v/>
      </c>
    </row>
    <row r="193">
      <c r="P193" s="2">
        <f>IF(192&lt;=$I$8, INDEX('Precios Diarios'!$A$2:$A$495, $G$8 - 1 + 192 - 1), NA())</f>
        <v/>
      </c>
      <c r="Q193">
        <f>IF(192&lt;=$I$8, INDEX('Precios Diarios'!$E$2:$E$495, $G$8 - 1 + 192 - 1), NA())</f>
        <v/>
      </c>
      <c r="R193">
        <f>IF(192&lt;=$I$8, INDEX('Precios Diarios'!$F$2:$F$495, $G$8 - 1 + 192 - 1), NA())</f>
        <v/>
      </c>
    </row>
    <row r="194">
      <c r="P194" s="2">
        <f>IF(193&lt;=$I$8, INDEX('Precios Diarios'!$A$2:$A$495, $G$8 - 1 + 193 - 1), NA())</f>
        <v/>
      </c>
      <c r="Q194">
        <f>IF(193&lt;=$I$8, INDEX('Precios Diarios'!$E$2:$E$495, $G$8 - 1 + 193 - 1), NA())</f>
        <v/>
      </c>
      <c r="R194">
        <f>IF(193&lt;=$I$8, INDEX('Precios Diarios'!$F$2:$F$495, $G$8 - 1 + 193 - 1), NA())</f>
        <v/>
      </c>
    </row>
    <row r="195">
      <c r="P195" s="2">
        <f>IF(194&lt;=$I$8, INDEX('Precios Diarios'!$A$2:$A$495, $G$8 - 1 + 194 - 1), NA())</f>
        <v/>
      </c>
      <c r="Q195">
        <f>IF(194&lt;=$I$8, INDEX('Precios Diarios'!$E$2:$E$495, $G$8 - 1 + 194 - 1), NA())</f>
        <v/>
      </c>
      <c r="R195">
        <f>IF(194&lt;=$I$8, INDEX('Precios Diarios'!$F$2:$F$495, $G$8 - 1 + 194 - 1), NA())</f>
        <v/>
      </c>
    </row>
    <row r="196">
      <c r="P196" s="2">
        <f>IF(195&lt;=$I$8, INDEX('Precios Diarios'!$A$2:$A$495, $G$8 - 1 + 195 - 1), NA())</f>
        <v/>
      </c>
      <c r="Q196">
        <f>IF(195&lt;=$I$8, INDEX('Precios Diarios'!$E$2:$E$495, $G$8 - 1 + 195 - 1), NA())</f>
        <v/>
      </c>
      <c r="R196">
        <f>IF(195&lt;=$I$8, INDEX('Precios Diarios'!$F$2:$F$495, $G$8 - 1 + 195 - 1), NA())</f>
        <v/>
      </c>
    </row>
    <row r="197">
      <c r="P197" s="2">
        <f>IF(196&lt;=$I$8, INDEX('Precios Diarios'!$A$2:$A$495, $G$8 - 1 + 196 - 1), NA())</f>
        <v/>
      </c>
      <c r="Q197">
        <f>IF(196&lt;=$I$8, INDEX('Precios Diarios'!$E$2:$E$495, $G$8 - 1 + 196 - 1), NA())</f>
        <v/>
      </c>
      <c r="R197">
        <f>IF(196&lt;=$I$8, INDEX('Precios Diarios'!$F$2:$F$495, $G$8 - 1 + 196 - 1), NA())</f>
        <v/>
      </c>
    </row>
    <row r="198">
      <c r="P198" s="2">
        <f>IF(197&lt;=$I$8, INDEX('Precios Diarios'!$A$2:$A$495, $G$8 - 1 + 197 - 1), NA())</f>
        <v/>
      </c>
      <c r="Q198">
        <f>IF(197&lt;=$I$8, INDEX('Precios Diarios'!$E$2:$E$495, $G$8 - 1 + 197 - 1), NA())</f>
        <v/>
      </c>
      <c r="R198">
        <f>IF(197&lt;=$I$8, INDEX('Precios Diarios'!$F$2:$F$495, $G$8 - 1 + 197 - 1), NA())</f>
        <v/>
      </c>
    </row>
    <row r="199">
      <c r="P199" s="2">
        <f>IF(198&lt;=$I$8, INDEX('Precios Diarios'!$A$2:$A$495, $G$8 - 1 + 198 - 1), NA())</f>
        <v/>
      </c>
      <c r="Q199">
        <f>IF(198&lt;=$I$8, INDEX('Precios Diarios'!$E$2:$E$495, $G$8 - 1 + 198 - 1), NA())</f>
        <v/>
      </c>
      <c r="R199">
        <f>IF(198&lt;=$I$8, INDEX('Precios Diarios'!$F$2:$F$495, $G$8 - 1 + 198 - 1), NA())</f>
        <v/>
      </c>
    </row>
    <row r="200">
      <c r="P200" s="2">
        <f>IF(199&lt;=$I$8, INDEX('Precios Diarios'!$A$2:$A$495, $G$8 - 1 + 199 - 1), NA())</f>
        <v/>
      </c>
      <c r="Q200">
        <f>IF(199&lt;=$I$8, INDEX('Precios Diarios'!$E$2:$E$495, $G$8 - 1 + 199 - 1), NA())</f>
        <v/>
      </c>
      <c r="R200">
        <f>IF(199&lt;=$I$8, INDEX('Precios Diarios'!$F$2:$F$495, $G$8 - 1 + 199 - 1), NA())</f>
        <v/>
      </c>
    </row>
    <row r="201">
      <c r="P201" s="2">
        <f>IF(200&lt;=$I$8, INDEX('Precios Diarios'!$A$2:$A$495, $G$8 - 1 + 200 - 1), NA())</f>
        <v/>
      </c>
      <c r="Q201">
        <f>IF(200&lt;=$I$8, INDEX('Precios Diarios'!$E$2:$E$495, $G$8 - 1 + 200 - 1), NA())</f>
        <v/>
      </c>
      <c r="R201">
        <f>IF(200&lt;=$I$8, INDEX('Precios Diarios'!$F$2:$F$495, $G$8 - 1 + 200 - 1), NA())</f>
        <v/>
      </c>
    </row>
    <row r="202">
      <c r="P202" s="2">
        <f>IF(201&lt;=$I$8, INDEX('Precios Diarios'!$A$2:$A$495, $G$8 - 1 + 201 - 1), NA())</f>
        <v/>
      </c>
      <c r="Q202">
        <f>IF(201&lt;=$I$8, INDEX('Precios Diarios'!$E$2:$E$495, $G$8 - 1 + 201 - 1), NA())</f>
        <v/>
      </c>
      <c r="R202">
        <f>IF(201&lt;=$I$8, INDEX('Precios Diarios'!$F$2:$F$495, $G$8 - 1 + 201 - 1), NA())</f>
        <v/>
      </c>
    </row>
    <row r="203">
      <c r="P203" s="2">
        <f>IF(202&lt;=$I$8, INDEX('Precios Diarios'!$A$2:$A$495, $G$8 - 1 + 202 - 1), NA())</f>
        <v/>
      </c>
      <c r="Q203">
        <f>IF(202&lt;=$I$8, INDEX('Precios Diarios'!$E$2:$E$495, $G$8 - 1 + 202 - 1), NA())</f>
        <v/>
      </c>
      <c r="R203">
        <f>IF(202&lt;=$I$8, INDEX('Precios Diarios'!$F$2:$F$495, $G$8 - 1 + 202 - 1), NA())</f>
        <v/>
      </c>
    </row>
    <row r="204">
      <c r="P204" s="2">
        <f>IF(203&lt;=$I$8, INDEX('Precios Diarios'!$A$2:$A$495, $G$8 - 1 + 203 - 1), NA())</f>
        <v/>
      </c>
      <c r="Q204">
        <f>IF(203&lt;=$I$8, INDEX('Precios Diarios'!$E$2:$E$495, $G$8 - 1 + 203 - 1), NA())</f>
        <v/>
      </c>
      <c r="R204">
        <f>IF(203&lt;=$I$8, INDEX('Precios Diarios'!$F$2:$F$495, $G$8 - 1 + 203 - 1), NA())</f>
        <v/>
      </c>
    </row>
    <row r="205">
      <c r="P205" s="2">
        <f>IF(204&lt;=$I$8, INDEX('Precios Diarios'!$A$2:$A$495, $G$8 - 1 + 204 - 1), NA())</f>
        <v/>
      </c>
      <c r="Q205">
        <f>IF(204&lt;=$I$8, INDEX('Precios Diarios'!$E$2:$E$495, $G$8 - 1 + 204 - 1), NA())</f>
        <v/>
      </c>
      <c r="R205">
        <f>IF(204&lt;=$I$8, INDEX('Precios Diarios'!$F$2:$F$495, $G$8 - 1 + 204 - 1), NA())</f>
        <v/>
      </c>
    </row>
    <row r="206">
      <c r="P206" s="2">
        <f>IF(205&lt;=$I$8, INDEX('Precios Diarios'!$A$2:$A$495, $G$8 - 1 + 205 - 1), NA())</f>
        <v/>
      </c>
      <c r="Q206">
        <f>IF(205&lt;=$I$8, INDEX('Precios Diarios'!$E$2:$E$495, $G$8 - 1 + 205 - 1), NA())</f>
        <v/>
      </c>
      <c r="R206">
        <f>IF(205&lt;=$I$8, INDEX('Precios Diarios'!$F$2:$F$495, $G$8 - 1 + 205 - 1), NA())</f>
        <v/>
      </c>
    </row>
    <row r="207">
      <c r="P207" s="2">
        <f>IF(206&lt;=$I$8, INDEX('Precios Diarios'!$A$2:$A$495, $G$8 - 1 + 206 - 1), NA())</f>
        <v/>
      </c>
      <c r="Q207">
        <f>IF(206&lt;=$I$8, INDEX('Precios Diarios'!$E$2:$E$495, $G$8 - 1 + 206 - 1), NA())</f>
        <v/>
      </c>
      <c r="R207">
        <f>IF(206&lt;=$I$8, INDEX('Precios Diarios'!$F$2:$F$495, $G$8 - 1 + 206 - 1), NA())</f>
        <v/>
      </c>
    </row>
    <row r="208">
      <c r="P208" s="2">
        <f>IF(207&lt;=$I$8, INDEX('Precios Diarios'!$A$2:$A$495, $G$8 - 1 + 207 - 1), NA())</f>
        <v/>
      </c>
      <c r="Q208">
        <f>IF(207&lt;=$I$8, INDEX('Precios Diarios'!$E$2:$E$495, $G$8 - 1 + 207 - 1), NA())</f>
        <v/>
      </c>
      <c r="R208">
        <f>IF(207&lt;=$I$8, INDEX('Precios Diarios'!$F$2:$F$495, $G$8 - 1 + 207 - 1), NA())</f>
        <v/>
      </c>
    </row>
    <row r="209">
      <c r="P209" s="2">
        <f>IF(208&lt;=$I$8, INDEX('Precios Diarios'!$A$2:$A$495, $G$8 - 1 + 208 - 1), NA())</f>
        <v/>
      </c>
      <c r="Q209">
        <f>IF(208&lt;=$I$8, INDEX('Precios Diarios'!$E$2:$E$495, $G$8 - 1 + 208 - 1), NA())</f>
        <v/>
      </c>
      <c r="R209">
        <f>IF(208&lt;=$I$8, INDEX('Precios Diarios'!$F$2:$F$495, $G$8 - 1 + 208 - 1), NA())</f>
        <v/>
      </c>
    </row>
    <row r="210">
      <c r="P210" s="2">
        <f>IF(209&lt;=$I$8, INDEX('Precios Diarios'!$A$2:$A$495, $G$8 - 1 + 209 - 1), NA())</f>
        <v/>
      </c>
      <c r="Q210">
        <f>IF(209&lt;=$I$8, INDEX('Precios Diarios'!$E$2:$E$495, $G$8 - 1 + 209 - 1), NA())</f>
        <v/>
      </c>
      <c r="R210">
        <f>IF(209&lt;=$I$8, INDEX('Precios Diarios'!$F$2:$F$495, $G$8 - 1 + 209 - 1), NA())</f>
        <v/>
      </c>
    </row>
    <row r="211">
      <c r="P211" s="2">
        <f>IF(210&lt;=$I$8, INDEX('Precios Diarios'!$A$2:$A$495, $G$8 - 1 + 210 - 1), NA())</f>
        <v/>
      </c>
      <c r="Q211">
        <f>IF(210&lt;=$I$8, INDEX('Precios Diarios'!$E$2:$E$495, $G$8 - 1 + 210 - 1), NA())</f>
        <v/>
      </c>
      <c r="R211">
        <f>IF(210&lt;=$I$8, INDEX('Precios Diarios'!$F$2:$F$495, $G$8 - 1 + 210 - 1), NA())</f>
        <v/>
      </c>
    </row>
    <row r="212">
      <c r="P212" s="2">
        <f>IF(211&lt;=$I$8, INDEX('Precios Diarios'!$A$2:$A$495, $G$8 - 1 + 211 - 1), NA())</f>
        <v/>
      </c>
      <c r="Q212">
        <f>IF(211&lt;=$I$8, INDEX('Precios Diarios'!$E$2:$E$495, $G$8 - 1 + 211 - 1), NA())</f>
        <v/>
      </c>
      <c r="R212">
        <f>IF(211&lt;=$I$8, INDEX('Precios Diarios'!$F$2:$F$495, $G$8 - 1 + 211 - 1), NA())</f>
        <v/>
      </c>
    </row>
    <row r="213">
      <c r="P213" s="2">
        <f>IF(212&lt;=$I$8, INDEX('Precios Diarios'!$A$2:$A$495, $G$8 - 1 + 212 - 1), NA())</f>
        <v/>
      </c>
      <c r="Q213">
        <f>IF(212&lt;=$I$8, INDEX('Precios Diarios'!$E$2:$E$495, $G$8 - 1 + 212 - 1), NA())</f>
        <v/>
      </c>
      <c r="R213">
        <f>IF(212&lt;=$I$8, INDEX('Precios Diarios'!$F$2:$F$495, $G$8 - 1 + 212 - 1), NA())</f>
        <v/>
      </c>
    </row>
    <row r="214">
      <c r="P214" s="2">
        <f>IF(213&lt;=$I$8, INDEX('Precios Diarios'!$A$2:$A$495, $G$8 - 1 + 213 - 1), NA())</f>
        <v/>
      </c>
      <c r="Q214">
        <f>IF(213&lt;=$I$8, INDEX('Precios Diarios'!$E$2:$E$495, $G$8 - 1 + 213 - 1), NA())</f>
        <v/>
      </c>
      <c r="R214">
        <f>IF(213&lt;=$I$8, INDEX('Precios Diarios'!$F$2:$F$495, $G$8 - 1 + 213 - 1), NA())</f>
        <v/>
      </c>
    </row>
    <row r="215">
      <c r="P215" s="2">
        <f>IF(214&lt;=$I$8, INDEX('Precios Diarios'!$A$2:$A$495, $G$8 - 1 + 214 - 1), NA())</f>
        <v/>
      </c>
      <c r="Q215">
        <f>IF(214&lt;=$I$8, INDEX('Precios Diarios'!$E$2:$E$495, $G$8 - 1 + 214 - 1), NA())</f>
        <v/>
      </c>
      <c r="R215">
        <f>IF(214&lt;=$I$8, INDEX('Precios Diarios'!$F$2:$F$495, $G$8 - 1 + 214 - 1), NA())</f>
        <v/>
      </c>
    </row>
    <row r="216">
      <c r="P216" s="2">
        <f>IF(215&lt;=$I$8, INDEX('Precios Diarios'!$A$2:$A$495, $G$8 - 1 + 215 - 1), NA())</f>
        <v/>
      </c>
      <c r="Q216">
        <f>IF(215&lt;=$I$8, INDEX('Precios Diarios'!$E$2:$E$495, $G$8 - 1 + 215 - 1), NA())</f>
        <v/>
      </c>
      <c r="R216">
        <f>IF(215&lt;=$I$8, INDEX('Precios Diarios'!$F$2:$F$495, $G$8 - 1 + 215 - 1), NA())</f>
        <v/>
      </c>
    </row>
    <row r="217">
      <c r="P217" s="2">
        <f>IF(216&lt;=$I$8, INDEX('Precios Diarios'!$A$2:$A$495, $G$8 - 1 + 216 - 1), NA())</f>
        <v/>
      </c>
      <c r="Q217">
        <f>IF(216&lt;=$I$8, INDEX('Precios Diarios'!$E$2:$E$495, $G$8 - 1 + 216 - 1), NA())</f>
        <v/>
      </c>
      <c r="R217">
        <f>IF(216&lt;=$I$8, INDEX('Precios Diarios'!$F$2:$F$495, $G$8 - 1 + 216 - 1), NA())</f>
        <v/>
      </c>
    </row>
    <row r="218">
      <c r="P218" s="2">
        <f>IF(217&lt;=$I$8, INDEX('Precios Diarios'!$A$2:$A$495, $G$8 - 1 + 217 - 1), NA())</f>
        <v/>
      </c>
      <c r="Q218">
        <f>IF(217&lt;=$I$8, INDEX('Precios Diarios'!$E$2:$E$495, $G$8 - 1 + 217 - 1), NA())</f>
        <v/>
      </c>
      <c r="R218">
        <f>IF(217&lt;=$I$8, INDEX('Precios Diarios'!$F$2:$F$495, $G$8 - 1 + 217 - 1), NA())</f>
        <v/>
      </c>
    </row>
    <row r="219">
      <c r="P219" s="2">
        <f>IF(218&lt;=$I$8, INDEX('Precios Diarios'!$A$2:$A$495, $G$8 - 1 + 218 - 1), NA())</f>
        <v/>
      </c>
      <c r="Q219">
        <f>IF(218&lt;=$I$8, INDEX('Precios Diarios'!$E$2:$E$495, $G$8 - 1 + 218 - 1), NA())</f>
        <v/>
      </c>
      <c r="R219">
        <f>IF(218&lt;=$I$8, INDEX('Precios Diarios'!$F$2:$F$495, $G$8 - 1 + 218 - 1), NA())</f>
        <v/>
      </c>
    </row>
    <row r="220">
      <c r="P220" s="2">
        <f>IF(219&lt;=$I$8, INDEX('Precios Diarios'!$A$2:$A$495, $G$8 - 1 + 219 - 1), NA())</f>
        <v/>
      </c>
      <c r="Q220">
        <f>IF(219&lt;=$I$8, INDEX('Precios Diarios'!$E$2:$E$495, $G$8 - 1 + 219 - 1), NA())</f>
        <v/>
      </c>
      <c r="R220">
        <f>IF(219&lt;=$I$8, INDEX('Precios Diarios'!$F$2:$F$495, $G$8 - 1 + 219 - 1), NA())</f>
        <v/>
      </c>
    </row>
    <row r="221">
      <c r="P221" s="2">
        <f>IF(220&lt;=$I$8, INDEX('Precios Diarios'!$A$2:$A$495, $G$8 - 1 + 220 - 1), NA())</f>
        <v/>
      </c>
      <c r="Q221">
        <f>IF(220&lt;=$I$8, INDEX('Precios Diarios'!$E$2:$E$495, $G$8 - 1 + 220 - 1), NA())</f>
        <v/>
      </c>
      <c r="R221">
        <f>IF(220&lt;=$I$8, INDEX('Precios Diarios'!$F$2:$F$495, $G$8 - 1 + 220 - 1), NA())</f>
        <v/>
      </c>
    </row>
    <row r="222">
      <c r="P222" s="2">
        <f>IF(221&lt;=$I$8, INDEX('Precios Diarios'!$A$2:$A$495, $G$8 - 1 + 221 - 1), NA())</f>
        <v/>
      </c>
      <c r="Q222">
        <f>IF(221&lt;=$I$8, INDEX('Precios Diarios'!$E$2:$E$495, $G$8 - 1 + 221 - 1), NA())</f>
        <v/>
      </c>
      <c r="R222">
        <f>IF(221&lt;=$I$8, INDEX('Precios Diarios'!$F$2:$F$495, $G$8 - 1 + 221 - 1), NA())</f>
        <v/>
      </c>
    </row>
    <row r="223">
      <c r="P223" s="2">
        <f>IF(222&lt;=$I$8, INDEX('Precios Diarios'!$A$2:$A$495, $G$8 - 1 + 222 - 1), NA())</f>
        <v/>
      </c>
      <c r="Q223">
        <f>IF(222&lt;=$I$8, INDEX('Precios Diarios'!$E$2:$E$495, $G$8 - 1 + 222 - 1), NA())</f>
        <v/>
      </c>
      <c r="R223">
        <f>IF(222&lt;=$I$8, INDEX('Precios Diarios'!$F$2:$F$495, $G$8 - 1 + 222 - 1), NA())</f>
        <v/>
      </c>
    </row>
    <row r="224">
      <c r="P224" s="2">
        <f>IF(223&lt;=$I$8, INDEX('Precios Diarios'!$A$2:$A$495, $G$8 - 1 + 223 - 1), NA())</f>
        <v/>
      </c>
      <c r="Q224">
        <f>IF(223&lt;=$I$8, INDEX('Precios Diarios'!$E$2:$E$495, $G$8 - 1 + 223 - 1), NA())</f>
        <v/>
      </c>
      <c r="R224">
        <f>IF(223&lt;=$I$8, INDEX('Precios Diarios'!$F$2:$F$495, $G$8 - 1 + 223 - 1), NA())</f>
        <v/>
      </c>
    </row>
    <row r="225">
      <c r="P225" s="2">
        <f>IF(224&lt;=$I$8, INDEX('Precios Diarios'!$A$2:$A$495, $G$8 - 1 + 224 - 1), NA())</f>
        <v/>
      </c>
      <c r="Q225">
        <f>IF(224&lt;=$I$8, INDEX('Precios Diarios'!$E$2:$E$495, $G$8 - 1 + 224 - 1), NA())</f>
        <v/>
      </c>
      <c r="R225">
        <f>IF(224&lt;=$I$8, INDEX('Precios Diarios'!$F$2:$F$495, $G$8 - 1 + 224 - 1), NA())</f>
        <v/>
      </c>
    </row>
    <row r="226">
      <c r="P226" s="2">
        <f>IF(225&lt;=$I$8, INDEX('Precios Diarios'!$A$2:$A$495, $G$8 - 1 + 225 - 1), NA())</f>
        <v/>
      </c>
      <c r="Q226">
        <f>IF(225&lt;=$I$8, INDEX('Precios Diarios'!$E$2:$E$495, $G$8 - 1 + 225 - 1), NA())</f>
        <v/>
      </c>
      <c r="R226">
        <f>IF(225&lt;=$I$8, INDEX('Precios Diarios'!$F$2:$F$495, $G$8 - 1 + 225 - 1), NA())</f>
        <v/>
      </c>
    </row>
    <row r="227">
      <c r="P227" s="2">
        <f>IF(226&lt;=$I$8, INDEX('Precios Diarios'!$A$2:$A$495, $G$8 - 1 + 226 - 1), NA())</f>
        <v/>
      </c>
      <c r="Q227">
        <f>IF(226&lt;=$I$8, INDEX('Precios Diarios'!$E$2:$E$495, $G$8 - 1 + 226 - 1), NA())</f>
        <v/>
      </c>
      <c r="R227">
        <f>IF(226&lt;=$I$8, INDEX('Precios Diarios'!$F$2:$F$495, $G$8 - 1 + 226 - 1), NA())</f>
        <v/>
      </c>
    </row>
    <row r="228">
      <c r="P228" s="2">
        <f>IF(227&lt;=$I$8, INDEX('Precios Diarios'!$A$2:$A$495, $G$8 - 1 + 227 - 1), NA())</f>
        <v/>
      </c>
      <c r="Q228">
        <f>IF(227&lt;=$I$8, INDEX('Precios Diarios'!$E$2:$E$495, $G$8 - 1 + 227 - 1), NA())</f>
        <v/>
      </c>
      <c r="R228">
        <f>IF(227&lt;=$I$8, INDEX('Precios Diarios'!$F$2:$F$495, $G$8 - 1 + 227 - 1), NA())</f>
        <v/>
      </c>
    </row>
    <row r="229">
      <c r="P229" s="2">
        <f>IF(228&lt;=$I$8, INDEX('Precios Diarios'!$A$2:$A$495, $G$8 - 1 + 228 - 1), NA())</f>
        <v/>
      </c>
      <c r="Q229">
        <f>IF(228&lt;=$I$8, INDEX('Precios Diarios'!$E$2:$E$495, $G$8 - 1 + 228 - 1), NA())</f>
        <v/>
      </c>
      <c r="R229">
        <f>IF(228&lt;=$I$8, INDEX('Precios Diarios'!$F$2:$F$495, $G$8 - 1 + 228 - 1), NA())</f>
        <v/>
      </c>
    </row>
    <row r="230">
      <c r="P230" s="2">
        <f>IF(229&lt;=$I$8, INDEX('Precios Diarios'!$A$2:$A$495, $G$8 - 1 + 229 - 1), NA())</f>
        <v/>
      </c>
      <c r="Q230">
        <f>IF(229&lt;=$I$8, INDEX('Precios Diarios'!$E$2:$E$495, $G$8 - 1 + 229 - 1), NA())</f>
        <v/>
      </c>
      <c r="R230">
        <f>IF(229&lt;=$I$8, INDEX('Precios Diarios'!$F$2:$F$495, $G$8 - 1 + 229 - 1), NA())</f>
        <v/>
      </c>
    </row>
    <row r="231">
      <c r="P231" s="2">
        <f>IF(230&lt;=$I$8, INDEX('Precios Diarios'!$A$2:$A$495, $G$8 - 1 + 230 - 1), NA())</f>
        <v/>
      </c>
      <c r="Q231">
        <f>IF(230&lt;=$I$8, INDEX('Precios Diarios'!$E$2:$E$495, $G$8 - 1 + 230 - 1), NA())</f>
        <v/>
      </c>
      <c r="R231">
        <f>IF(230&lt;=$I$8, INDEX('Precios Diarios'!$F$2:$F$495, $G$8 - 1 + 230 - 1), NA())</f>
        <v/>
      </c>
    </row>
    <row r="232">
      <c r="P232" s="2">
        <f>IF(231&lt;=$I$8, INDEX('Precios Diarios'!$A$2:$A$495, $G$8 - 1 + 231 - 1), NA())</f>
        <v/>
      </c>
      <c r="Q232">
        <f>IF(231&lt;=$I$8, INDEX('Precios Diarios'!$E$2:$E$495, $G$8 - 1 + 231 - 1), NA())</f>
        <v/>
      </c>
      <c r="R232">
        <f>IF(231&lt;=$I$8, INDEX('Precios Diarios'!$F$2:$F$495, $G$8 - 1 + 231 - 1), NA())</f>
        <v/>
      </c>
    </row>
    <row r="233">
      <c r="P233" s="2">
        <f>IF(232&lt;=$I$8, INDEX('Precios Diarios'!$A$2:$A$495, $G$8 - 1 + 232 - 1), NA())</f>
        <v/>
      </c>
      <c r="Q233">
        <f>IF(232&lt;=$I$8, INDEX('Precios Diarios'!$E$2:$E$495, $G$8 - 1 + 232 - 1), NA())</f>
        <v/>
      </c>
      <c r="R233">
        <f>IF(232&lt;=$I$8, INDEX('Precios Diarios'!$F$2:$F$495, $G$8 - 1 + 232 - 1), NA())</f>
        <v/>
      </c>
    </row>
    <row r="234">
      <c r="P234" s="2">
        <f>IF(233&lt;=$I$8, INDEX('Precios Diarios'!$A$2:$A$495, $G$8 - 1 + 233 - 1), NA())</f>
        <v/>
      </c>
      <c r="Q234">
        <f>IF(233&lt;=$I$8, INDEX('Precios Diarios'!$E$2:$E$495, $G$8 - 1 + 233 - 1), NA())</f>
        <v/>
      </c>
      <c r="R234">
        <f>IF(233&lt;=$I$8, INDEX('Precios Diarios'!$F$2:$F$495, $G$8 - 1 + 233 - 1), NA())</f>
        <v/>
      </c>
    </row>
    <row r="235">
      <c r="P235" s="2">
        <f>IF(234&lt;=$I$8, INDEX('Precios Diarios'!$A$2:$A$495, $G$8 - 1 + 234 - 1), NA())</f>
        <v/>
      </c>
      <c r="Q235">
        <f>IF(234&lt;=$I$8, INDEX('Precios Diarios'!$E$2:$E$495, $G$8 - 1 + 234 - 1), NA())</f>
        <v/>
      </c>
      <c r="R235">
        <f>IF(234&lt;=$I$8, INDEX('Precios Diarios'!$F$2:$F$495, $G$8 - 1 + 234 - 1), NA())</f>
        <v/>
      </c>
    </row>
    <row r="236">
      <c r="P236" s="2">
        <f>IF(235&lt;=$I$8, INDEX('Precios Diarios'!$A$2:$A$495, $G$8 - 1 + 235 - 1), NA())</f>
        <v/>
      </c>
      <c r="Q236">
        <f>IF(235&lt;=$I$8, INDEX('Precios Diarios'!$E$2:$E$495, $G$8 - 1 + 235 - 1), NA())</f>
        <v/>
      </c>
      <c r="R236">
        <f>IF(235&lt;=$I$8, INDEX('Precios Diarios'!$F$2:$F$495, $G$8 - 1 + 235 - 1), NA())</f>
        <v/>
      </c>
    </row>
    <row r="237">
      <c r="P237" s="2">
        <f>IF(236&lt;=$I$8, INDEX('Precios Diarios'!$A$2:$A$495, $G$8 - 1 + 236 - 1), NA())</f>
        <v/>
      </c>
      <c r="Q237">
        <f>IF(236&lt;=$I$8, INDEX('Precios Diarios'!$E$2:$E$495, $G$8 - 1 + 236 - 1), NA())</f>
        <v/>
      </c>
      <c r="R237">
        <f>IF(236&lt;=$I$8, INDEX('Precios Diarios'!$F$2:$F$495, $G$8 - 1 + 236 - 1), NA())</f>
        <v/>
      </c>
    </row>
    <row r="238">
      <c r="P238" s="2">
        <f>IF(237&lt;=$I$8, INDEX('Precios Diarios'!$A$2:$A$495, $G$8 - 1 + 237 - 1), NA())</f>
        <v/>
      </c>
      <c r="Q238">
        <f>IF(237&lt;=$I$8, INDEX('Precios Diarios'!$E$2:$E$495, $G$8 - 1 + 237 - 1), NA())</f>
        <v/>
      </c>
      <c r="R238">
        <f>IF(237&lt;=$I$8, INDEX('Precios Diarios'!$F$2:$F$495, $G$8 - 1 + 237 - 1), NA())</f>
        <v/>
      </c>
    </row>
    <row r="239">
      <c r="P239" s="2">
        <f>IF(238&lt;=$I$8, INDEX('Precios Diarios'!$A$2:$A$495, $G$8 - 1 + 238 - 1), NA())</f>
        <v/>
      </c>
      <c r="Q239">
        <f>IF(238&lt;=$I$8, INDEX('Precios Diarios'!$E$2:$E$495, $G$8 - 1 + 238 - 1), NA())</f>
        <v/>
      </c>
      <c r="R239">
        <f>IF(238&lt;=$I$8, INDEX('Precios Diarios'!$F$2:$F$495, $G$8 - 1 + 238 - 1), NA())</f>
        <v/>
      </c>
    </row>
    <row r="240">
      <c r="P240" s="2">
        <f>IF(239&lt;=$I$8, INDEX('Precios Diarios'!$A$2:$A$495, $G$8 - 1 + 239 - 1), NA())</f>
        <v/>
      </c>
      <c r="Q240">
        <f>IF(239&lt;=$I$8, INDEX('Precios Diarios'!$E$2:$E$495, $G$8 - 1 + 239 - 1), NA())</f>
        <v/>
      </c>
      <c r="R240">
        <f>IF(239&lt;=$I$8, INDEX('Precios Diarios'!$F$2:$F$495, $G$8 - 1 + 239 - 1), NA())</f>
        <v/>
      </c>
    </row>
    <row r="241">
      <c r="P241" s="2">
        <f>IF(240&lt;=$I$8, INDEX('Precios Diarios'!$A$2:$A$495, $G$8 - 1 + 240 - 1), NA())</f>
        <v/>
      </c>
      <c r="Q241">
        <f>IF(240&lt;=$I$8, INDEX('Precios Diarios'!$E$2:$E$495, $G$8 - 1 + 240 - 1), NA())</f>
        <v/>
      </c>
      <c r="R241">
        <f>IF(240&lt;=$I$8, INDEX('Precios Diarios'!$F$2:$F$495, $G$8 - 1 + 240 - 1), NA())</f>
        <v/>
      </c>
    </row>
    <row r="242">
      <c r="P242" s="2">
        <f>IF(241&lt;=$I$8, INDEX('Precios Diarios'!$A$2:$A$495, $G$8 - 1 + 241 - 1), NA())</f>
        <v/>
      </c>
      <c r="Q242">
        <f>IF(241&lt;=$I$8, INDEX('Precios Diarios'!$E$2:$E$495, $G$8 - 1 + 241 - 1), NA())</f>
        <v/>
      </c>
      <c r="R242">
        <f>IF(241&lt;=$I$8, INDEX('Precios Diarios'!$F$2:$F$495, $G$8 - 1 + 241 - 1), NA())</f>
        <v/>
      </c>
    </row>
    <row r="243">
      <c r="P243" s="2">
        <f>IF(242&lt;=$I$8, INDEX('Precios Diarios'!$A$2:$A$495, $G$8 - 1 + 242 - 1), NA())</f>
        <v/>
      </c>
      <c r="Q243">
        <f>IF(242&lt;=$I$8, INDEX('Precios Diarios'!$E$2:$E$495, $G$8 - 1 + 242 - 1), NA())</f>
        <v/>
      </c>
      <c r="R243">
        <f>IF(242&lt;=$I$8, INDEX('Precios Diarios'!$F$2:$F$495, $G$8 - 1 + 242 - 1), NA())</f>
        <v/>
      </c>
    </row>
    <row r="244">
      <c r="P244" s="2">
        <f>IF(243&lt;=$I$8, INDEX('Precios Diarios'!$A$2:$A$495, $G$8 - 1 + 243 - 1), NA())</f>
        <v/>
      </c>
      <c r="Q244">
        <f>IF(243&lt;=$I$8, INDEX('Precios Diarios'!$E$2:$E$495, $G$8 - 1 + 243 - 1), NA())</f>
        <v/>
      </c>
      <c r="R244">
        <f>IF(243&lt;=$I$8, INDEX('Precios Diarios'!$F$2:$F$495, $G$8 - 1 + 243 - 1), NA())</f>
        <v/>
      </c>
    </row>
    <row r="245">
      <c r="P245" s="2">
        <f>IF(244&lt;=$I$8, INDEX('Precios Diarios'!$A$2:$A$495, $G$8 - 1 + 244 - 1), NA())</f>
        <v/>
      </c>
      <c r="Q245">
        <f>IF(244&lt;=$I$8, INDEX('Precios Diarios'!$E$2:$E$495, $G$8 - 1 + 244 - 1), NA())</f>
        <v/>
      </c>
      <c r="R245">
        <f>IF(244&lt;=$I$8, INDEX('Precios Diarios'!$F$2:$F$495, $G$8 - 1 + 244 - 1), NA())</f>
        <v/>
      </c>
    </row>
    <row r="246">
      <c r="P246" s="2">
        <f>IF(245&lt;=$I$8, INDEX('Precios Diarios'!$A$2:$A$495, $G$8 - 1 + 245 - 1), NA())</f>
        <v/>
      </c>
      <c r="Q246">
        <f>IF(245&lt;=$I$8, INDEX('Precios Diarios'!$E$2:$E$495, $G$8 - 1 + 245 - 1), NA())</f>
        <v/>
      </c>
      <c r="R246">
        <f>IF(245&lt;=$I$8, INDEX('Precios Diarios'!$F$2:$F$495, $G$8 - 1 + 245 - 1), NA())</f>
        <v/>
      </c>
    </row>
    <row r="247">
      <c r="P247" s="2">
        <f>IF(246&lt;=$I$8, INDEX('Precios Diarios'!$A$2:$A$495, $G$8 - 1 + 246 - 1), NA())</f>
        <v/>
      </c>
      <c r="Q247">
        <f>IF(246&lt;=$I$8, INDEX('Precios Diarios'!$E$2:$E$495, $G$8 - 1 + 246 - 1), NA())</f>
        <v/>
      </c>
      <c r="R247">
        <f>IF(246&lt;=$I$8, INDEX('Precios Diarios'!$F$2:$F$495, $G$8 - 1 + 246 - 1), NA())</f>
        <v/>
      </c>
    </row>
    <row r="248">
      <c r="P248" s="2">
        <f>IF(247&lt;=$I$8, INDEX('Precios Diarios'!$A$2:$A$495, $G$8 - 1 + 247 - 1), NA())</f>
        <v/>
      </c>
      <c r="Q248">
        <f>IF(247&lt;=$I$8, INDEX('Precios Diarios'!$E$2:$E$495, $G$8 - 1 + 247 - 1), NA())</f>
        <v/>
      </c>
      <c r="R248">
        <f>IF(247&lt;=$I$8, INDEX('Precios Diarios'!$F$2:$F$495, $G$8 - 1 + 247 - 1), NA())</f>
        <v/>
      </c>
    </row>
    <row r="249">
      <c r="P249" s="2">
        <f>IF(248&lt;=$I$8, INDEX('Precios Diarios'!$A$2:$A$495, $G$8 - 1 + 248 - 1), NA())</f>
        <v/>
      </c>
      <c r="Q249">
        <f>IF(248&lt;=$I$8, INDEX('Precios Diarios'!$E$2:$E$495, $G$8 - 1 + 248 - 1), NA())</f>
        <v/>
      </c>
      <c r="R249">
        <f>IF(248&lt;=$I$8, INDEX('Precios Diarios'!$F$2:$F$495, $G$8 - 1 + 248 - 1), NA())</f>
        <v/>
      </c>
    </row>
    <row r="250">
      <c r="P250" s="2">
        <f>IF(249&lt;=$I$8, INDEX('Precios Diarios'!$A$2:$A$495, $G$8 - 1 + 249 - 1), NA())</f>
        <v/>
      </c>
      <c r="Q250">
        <f>IF(249&lt;=$I$8, INDEX('Precios Diarios'!$E$2:$E$495, $G$8 - 1 + 249 - 1), NA())</f>
        <v/>
      </c>
      <c r="R250">
        <f>IF(249&lt;=$I$8, INDEX('Precios Diarios'!$F$2:$F$495, $G$8 - 1 + 249 - 1), NA())</f>
        <v/>
      </c>
    </row>
    <row r="251">
      <c r="P251" s="2">
        <f>IF(250&lt;=$I$8, INDEX('Precios Diarios'!$A$2:$A$495, $G$8 - 1 + 250 - 1), NA())</f>
        <v/>
      </c>
      <c r="Q251">
        <f>IF(250&lt;=$I$8, INDEX('Precios Diarios'!$E$2:$E$495, $G$8 - 1 + 250 - 1), NA())</f>
        <v/>
      </c>
      <c r="R251">
        <f>IF(250&lt;=$I$8, INDEX('Precios Diarios'!$F$2:$F$495, $G$8 - 1 + 250 - 1), NA())</f>
        <v/>
      </c>
    </row>
    <row r="252">
      <c r="P252" s="2">
        <f>IF(251&lt;=$I$8, INDEX('Precios Diarios'!$A$2:$A$495, $G$8 - 1 + 251 - 1), NA())</f>
        <v/>
      </c>
      <c r="Q252">
        <f>IF(251&lt;=$I$8, INDEX('Precios Diarios'!$E$2:$E$495, $G$8 - 1 + 251 - 1), NA())</f>
        <v/>
      </c>
      <c r="R252">
        <f>IF(251&lt;=$I$8, INDEX('Precios Diarios'!$F$2:$F$495, $G$8 - 1 + 251 - 1), NA())</f>
        <v/>
      </c>
    </row>
    <row r="253">
      <c r="P253" s="2">
        <f>IF(252&lt;=$I$8, INDEX('Precios Diarios'!$A$2:$A$495, $G$8 - 1 + 252 - 1), NA())</f>
        <v/>
      </c>
      <c r="Q253">
        <f>IF(252&lt;=$I$8, INDEX('Precios Diarios'!$E$2:$E$495, $G$8 - 1 + 252 - 1), NA())</f>
        <v/>
      </c>
      <c r="R253">
        <f>IF(252&lt;=$I$8, INDEX('Precios Diarios'!$F$2:$F$495, $G$8 - 1 + 252 - 1), NA())</f>
        <v/>
      </c>
    </row>
    <row r="254">
      <c r="P254" s="2">
        <f>IF(253&lt;=$I$8, INDEX('Precios Diarios'!$A$2:$A$495, $G$8 - 1 + 253 - 1), NA())</f>
        <v/>
      </c>
      <c r="Q254">
        <f>IF(253&lt;=$I$8, INDEX('Precios Diarios'!$E$2:$E$495, $G$8 - 1 + 253 - 1), NA())</f>
        <v/>
      </c>
      <c r="R254">
        <f>IF(253&lt;=$I$8, INDEX('Precios Diarios'!$F$2:$F$495, $G$8 - 1 + 253 - 1), NA())</f>
        <v/>
      </c>
    </row>
    <row r="255">
      <c r="P255" s="2">
        <f>IF(254&lt;=$I$8, INDEX('Precios Diarios'!$A$2:$A$495, $G$8 - 1 + 254 - 1), NA())</f>
        <v/>
      </c>
      <c r="Q255">
        <f>IF(254&lt;=$I$8, INDEX('Precios Diarios'!$E$2:$E$495, $G$8 - 1 + 254 - 1), NA())</f>
        <v/>
      </c>
      <c r="R255">
        <f>IF(254&lt;=$I$8, INDEX('Precios Diarios'!$F$2:$F$495, $G$8 - 1 + 254 - 1), NA())</f>
        <v/>
      </c>
    </row>
    <row r="256">
      <c r="P256" s="2">
        <f>IF(255&lt;=$I$8, INDEX('Precios Diarios'!$A$2:$A$495, $G$8 - 1 + 255 - 1), NA())</f>
        <v/>
      </c>
      <c r="Q256">
        <f>IF(255&lt;=$I$8, INDEX('Precios Diarios'!$E$2:$E$495, $G$8 - 1 + 255 - 1), NA())</f>
        <v/>
      </c>
      <c r="R256">
        <f>IF(255&lt;=$I$8, INDEX('Precios Diarios'!$F$2:$F$495, $G$8 - 1 + 255 - 1), NA())</f>
        <v/>
      </c>
    </row>
    <row r="257">
      <c r="P257" s="2">
        <f>IF(256&lt;=$I$8, INDEX('Precios Diarios'!$A$2:$A$495, $G$8 - 1 + 256 - 1), NA())</f>
        <v/>
      </c>
      <c r="Q257">
        <f>IF(256&lt;=$I$8, INDEX('Precios Diarios'!$E$2:$E$495, $G$8 - 1 + 256 - 1), NA())</f>
        <v/>
      </c>
      <c r="R257">
        <f>IF(256&lt;=$I$8, INDEX('Precios Diarios'!$F$2:$F$495, $G$8 - 1 + 256 - 1), NA())</f>
        <v/>
      </c>
    </row>
    <row r="258">
      <c r="P258" s="2">
        <f>IF(257&lt;=$I$8, INDEX('Precios Diarios'!$A$2:$A$495, $G$8 - 1 + 257 - 1), NA())</f>
        <v/>
      </c>
      <c r="Q258">
        <f>IF(257&lt;=$I$8, INDEX('Precios Diarios'!$E$2:$E$495, $G$8 - 1 + 257 - 1), NA())</f>
        <v/>
      </c>
      <c r="R258">
        <f>IF(257&lt;=$I$8, INDEX('Precios Diarios'!$F$2:$F$495, $G$8 - 1 + 257 - 1), NA())</f>
        <v/>
      </c>
    </row>
    <row r="259">
      <c r="P259" s="2">
        <f>IF(258&lt;=$I$8, INDEX('Precios Diarios'!$A$2:$A$495, $G$8 - 1 + 258 - 1), NA())</f>
        <v/>
      </c>
      <c r="Q259">
        <f>IF(258&lt;=$I$8, INDEX('Precios Diarios'!$E$2:$E$495, $G$8 - 1 + 258 - 1), NA())</f>
        <v/>
      </c>
      <c r="R259">
        <f>IF(258&lt;=$I$8, INDEX('Precios Diarios'!$F$2:$F$495, $G$8 - 1 + 258 - 1), NA())</f>
        <v/>
      </c>
    </row>
    <row r="260">
      <c r="P260" s="2">
        <f>IF(259&lt;=$I$8, INDEX('Precios Diarios'!$A$2:$A$495, $G$8 - 1 + 259 - 1), NA())</f>
        <v/>
      </c>
      <c r="Q260">
        <f>IF(259&lt;=$I$8, INDEX('Precios Diarios'!$E$2:$E$495, $G$8 - 1 + 259 - 1), NA())</f>
        <v/>
      </c>
      <c r="R260">
        <f>IF(259&lt;=$I$8, INDEX('Precios Diarios'!$F$2:$F$495, $G$8 - 1 + 259 - 1), NA())</f>
        <v/>
      </c>
    </row>
    <row r="261">
      <c r="P261" s="2">
        <f>IF(260&lt;=$I$8, INDEX('Precios Diarios'!$A$2:$A$495, $G$8 - 1 + 260 - 1), NA())</f>
        <v/>
      </c>
      <c r="Q261">
        <f>IF(260&lt;=$I$8, INDEX('Precios Diarios'!$E$2:$E$495, $G$8 - 1 + 260 - 1), NA())</f>
        <v/>
      </c>
      <c r="R261">
        <f>IF(260&lt;=$I$8, INDEX('Precios Diarios'!$F$2:$F$495, $G$8 - 1 + 260 - 1), NA())</f>
        <v/>
      </c>
    </row>
    <row r="262">
      <c r="P262" s="2">
        <f>IF(261&lt;=$I$8, INDEX('Precios Diarios'!$A$2:$A$495, $G$8 - 1 + 261 - 1), NA())</f>
        <v/>
      </c>
      <c r="Q262">
        <f>IF(261&lt;=$I$8, INDEX('Precios Diarios'!$E$2:$E$495, $G$8 - 1 + 261 - 1), NA())</f>
        <v/>
      </c>
      <c r="R262">
        <f>IF(261&lt;=$I$8, INDEX('Precios Diarios'!$F$2:$F$495, $G$8 - 1 + 261 - 1), NA())</f>
        <v/>
      </c>
    </row>
    <row r="263">
      <c r="P263" s="2">
        <f>IF(262&lt;=$I$8, INDEX('Precios Diarios'!$A$2:$A$495, $G$8 - 1 + 262 - 1), NA())</f>
        <v/>
      </c>
      <c r="Q263">
        <f>IF(262&lt;=$I$8, INDEX('Precios Diarios'!$E$2:$E$495, $G$8 - 1 + 262 - 1), NA())</f>
        <v/>
      </c>
      <c r="R263">
        <f>IF(262&lt;=$I$8, INDEX('Precios Diarios'!$F$2:$F$495, $G$8 - 1 + 262 - 1), NA())</f>
        <v/>
      </c>
    </row>
    <row r="264">
      <c r="P264" s="2">
        <f>IF(263&lt;=$I$8, INDEX('Precios Diarios'!$A$2:$A$495, $G$8 - 1 + 263 - 1), NA())</f>
        <v/>
      </c>
      <c r="Q264">
        <f>IF(263&lt;=$I$8, INDEX('Precios Diarios'!$E$2:$E$495, $G$8 - 1 + 263 - 1), NA())</f>
        <v/>
      </c>
      <c r="R264">
        <f>IF(263&lt;=$I$8, INDEX('Precios Diarios'!$F$2:$F$495, $G$8 - 1 + 263 - 1), NA())</f>
        <v/>
      </c>
    </row>
    <row r="265">
      <c r="P265" s="2">
        <f>IF(264&lt;=$I$8, INDEX('Precios Diarios'!$A$2:$A$495, $G$8 - 1 + 264 - 1), NA())</f>
        <v/>
      </c>
      <c r="Q265">
        <f>IF(264&lt;=$I$8, INDEX('Precios Diarios'!$E$2:$E$495, $G$8 - 1 + 264 - 1), NA())</f>
        <v/>
      </c>
      <c r="R265">
        <f>IF(264&lt;=$I$8, INDEX('Precios Diarios'!$F$2:$F$495, $G$8 - 1 + 264 - 1), NA())</f>
        <v/>
      </c>
    </row>
    <row r="266">
      <c r="P266" s="2">
        <f>IF(265&lt;=$I$8, INDEX('Precios Diarios'!$A$2:$A$495, $G$8 - 1 + 265 - 1), NA())</f>
        <v/>
      </c>
      <c r="Q266">
        <f>IF(265&lt;=$I$8, INDEX('Precios Diarios'!$E$2:$E$495, $G$8 - 1 + 265 - 1), NA())</f>
        <v/>
      </c>
      <c r="R266">
        <f>IF(265&lt;=$I$8, INDEX('Precios Diarios'!$F$2:$F$495, $G$8 - 1 + 265 - 1), NA())</f>
        <v/>
      </c>
    </row>
    <row r="267">
      <c r="P267" s="2">
        <f>IF(266&lt;=$I$8, INDEX('Precios Diarios'!$A$2:$A$495, $G$8 - 1 + 266 - 1), NA())</f>
        <v/>
      </c>
      <c r="Q267">
        <f>IF(266&lt;=$I$8, INDEX('Precios Diarios'!$E$2:$E$495, $G$8 - 1 + 266 - 1), NA())</f>
        <v/>
      </c>
      <c r="R267">
        <f>IF(266&lt;=$I$8, INDEX('Precios Diarios'!$F$2:$F$495, $G$8 - 1 + 266 - 1), NA())</f>
        <v/>
      </c>
    </row>
    <row r="268">
      <c r="P268" s="2">
        <f>IF(267&lt;=$I$8, INDEX('Precios Diarios'!$A$2:$A$495, $G$8 - 1 + 267 - 1), NA())</f>
        <v/>
      </c>
      <c r="Q268">
        <f>IF(267&lt;=$I$8, INDEX('Precios Diarios'!$E$2:$E$495, $G$8 - 1 + 267 - 1), NA())</f>
        <v/>
      </c>
      <c r="R268">
        <f>IF(267&lt;=$I$8, INDEX('Precios Diarios'!$F$2:$F$495, $G$8 - 1 + 267 - 1), NA())</f>
        <v/>
      </c>
    </row>
    <row r="269">
      <c r="P269" s="2">
        <f>IF(268&lt;=$I$8, INDEX('Precios Diarios'!$A$2:$A$495, $G$8 - 1 + 268 - 1), NA())</f>
        <v/>
      </c>
      <c r="Q269">
        <f>IF(268&lt;=$I$8, INDEX('Precios Diarios'!$E$2:$E$495, $G$8 - 1 + 268 - 1), NA())</f>
        <v/>
      </c>
      <c r="R269">
        <f>IF(268&lt;=$I$8, INDEX('Precios Diarios'!$F$2:$F$495, $G$8 - 1 + 268 - 1), NA())</f>
        <v/>
      </c>
    </row>
    <row r="270">
      <c r="P270" s="2">
        <f>IF(269&lt;=$I$8, INDEX('Precios Diarios'!$A$2:$A$495, $G$8 - 1 + 269 - 1), NA())</f>
        <v/>
      </c>
      <c r="Q270">
        <f>IF(269&lt;=$I$8, INDEX('Precios Diarios'!$E$2:$E$495, $G$8 - 1 + 269 - 1), NA())</f>
        <v/>
      </c>
      <c r="R270">
        <f>IF(269&lt;=$I$8, INDEX('Precios Diarios'!$F$2:$F$495, $G$8 - 1 + 269 - 1), NA())</f>
        <v/>
      </c>
    </row>
    <row r="271">
      <c r="P271" s="2">
        <f>IF(270&lt;=$I$8, INDEX('Precios Diarios'!$A$2:$A$495, $G$8 - 1 + 270 - 1), NA())</f>
        <v/>
      </c>
      <c r="Q271">
        <f>IF(270&lt;=$I$8, INDEX('Precios Diarios'!$E$2:$E$495, $G$8 - 1 + 270 - 1), NA())</f>
        <v/>
      </c>
      <c r="R271">
        <f>IF(270&lt;=$I$8, INDEX('Precios Diarios'!$F$2:$F$495, $G$8 - 1 + 270 - 1), NA())</f>
        <v/>
      </c>
    </row>
    <row r="272">
      <c r="P272" s="2">
        <f>IF(271&lt;=$I$8, INDEX('Precios Diarios'!$A$2:$A$495, $G$8 - 1 + 271 - 1), NA())</f>
        <v/>
      </c>
      <c r="Q272">
        <f>IF(271&lt;=$I$8, INDEX('Precios Diarios'!$E$2:$E$495, $G$8 - 1 + 271 - 1), NA())</f>
        <v/>
      </c>
      <c r="R272">
        <f>IF(271&lt;=$I$8, INDEX('Precios Diarios'!$F$2:$F$495, $G$8 - 1 + 271 - 1), NA())</f>
        <v/>
      </c>
    </row>
    <row r="273">
      <c r="P273" s="2">
        <f>IF(272&lt;=$I$8, INDEX('Precios Diarios'!$A$2:$A$495, $G$8 - 1 + 272 - 1), NA())</f>
        <v/>
      </c>
      <c r="Q273">
        <f>IF(272&lt;=$I$8, INDEX('Precios Diarios'!$E$2:$E$495, $G$8 - 1 + 272 - 1), NA())</f>
        <v/>
      </c>
      <c r="R273">
        <f>IF(272&lt;=$I$8, INDEX('Precios Diarios'!$F$2:$F$495, $G$8 - 1 + 272 - 1), NA())</f>
        <v/>
      </c>
    </row>
    <row r="274">
      <c r="P274" s="2">
        <f>IF(273&lt;=$I$8, INDEX('Precios Diarios'!$A$2:$A$495, $G$8 - 1 + 273 - 1), NA())</f>
        <v/>
      </c>
      <c r="Q274">
        <f>IF(273&lt;=$I$8, INDEX('Precios Diarios'!$E$2:$E$495, $G$8 - 1 + 273 - 1), NA())</f>
        <v/>
      </c>
      <c r="R274">
        <f>IF(273&lt;=$I$8, INDEX('Precios Diarios'!$F$2:$F$495, $G$8 - 1 + 273 - 1), NA())</f>
        <v/>
      </c>
    </row>
    <row r="275">
      <c r="P275" s="2">
        <f>IF(274&lt;=$I$8, INDEX('Precios Diarios'!$A$2:$A$495, $G$8 - 1 + 274 - 1), NA())</f>
        <v/>
      </c>
      <c r="Q275">
        <f>IF(274&lt;=$I$8, INDEX('Precios Diarios'!$E$2:$E$495, $G$8 - 1 + 274 - 1), NA())</f>
        <v/>
      </c>
      <c r="R275">
        <f>IF(274&lt;=$I$8, INDEX('Precios Diarios'!$F$2:$F$495, $G$8 - 1 + 274 - 1), NA())</f>
        <v/>
      </c>
    </row>
    <row r="276">
      <c r="P276" s="2">
        <f>IF(275&lt;=$I$8, INDEX('Precios Diarios'!$A$2:$A$495, $G$8 - 1 + 275 - 1), NA())</f>
        <v/>
      </c>
      <c r="Q276">
        <f>IF(275&lt;=$I$8, INDEX('Precios Diarios'!$E$2:$E$495, $G$8 - 1 + 275 - 1), NA())</f>
        <v/>
      </c>
      <c r="R276">
        <f>IF(275&lt;=$I$8, INDEX('Precios Diarios'!$F$2:$F$495, $G$8 - 1 + 275 - 1), NA())</f>
        <v/>
      </c>
    </row>
    <row r="277">
      <c r="P277" s="2">
        <f>IF(276&lt;=$I$8, INDEX('Precios Diarios'!$A$2:$A$495, $G$8 - 1 + 276 - 1), NA())</f>
        <v/>
      </c>
      <c r="Q277">
        <f>IF(276&lt;=$I$8, INDEX('Precios Diarios'!$E$2:$E$495, $G$8 - 1 + 276 - 1), NA())</f>
        <v/>
      </c>
      <c r="R277">
        <f>IF(276&lt;=$I$8, INDEX('Precios Diarios'!$F$2:$F$495, $G$8 - 1 + 276 - 1), NA())</f>
        <v/>
      </c>
    </row>
    <row r="278">
      <c r="P278" s="2">
        <f>IF(277&lt;=$I$8, INDEX('Precios Diarios'!$A$2:$A$495, $G$8 - 1 + 277 - 1), NA())</f>
        <v/>
      </c>
      <c r="Q278">
        <f>IF(277&lt;=$I$8, INDEX('Precios Diarios'!$E$2:$E$495, $G$8 - 1 + 277 - 1), NA())</f>
        <v/>
      </c>
      <c r="R278">
        <f>IF(277&lt;=$I$8, INDEX('Precios Diarios'!$F$2:$F$495, $G$8 - 1 + 277 - 1), NA())</f>
        <v/>
      </c>
    </row>
    <row r="279">
      <c r="P279" s="2">
        <f>IF(278&lt;=$I$8, INDEX('Precios Diarios'!$A$2:$A$495, $G$8 - 1 + 278 - 1), NA())</f>
        <v/>
      </c>
      <c r="Q279">
        <f>IF(278&lt;=$I$8, INDEX('Precios Diarios'!$E$2:$E$495, $G$8 - 1 + 278 - 1), NA())</f>
        <v/>
      </c>
      <c r="R279">
        <f>IF(278&lt;=$I$8, INDEX('Precios Diarios'!$F$2:$F$495, $G$8 - 1 + 278 - 1), NA())</f>
        <v/>
      </c>
    </row>
    <row r="280">
      <c r="P280" s="2">
        <f>IF(279&lt;=$I$8, INDEX('Precios Diarios'!$A$2:$A$495, $G$8 - 1 + 279 - 1), NA())</f>
        <v/>
      </c>
      <c r="Q280">
        <f>IF(279&lt;=$I$8, INDEX('Precios Diarios'!$E$2:$E$495, $G$8 - 1 + 279 - 1), NA())</f>
        <v/>
      </c>
      <c r="R280">
        <f>IF(279&lt;=$I$8, INDEX('Precios Diarios'!$F$2:$F$495, $G$8 - 1 + 279 - 1), NA())</f>
        <v/>
      </c>
    </row>
    <row r="281">
      <c r="P281" s="2">
        <f>IF(280&lt;=$I$8, INDEX('Precios Diarios'!$A$2:$A$495, $G$8 - 1 + 280 - 1), NA())</f>
        <v/>
      </c>
      <c r="Q281">
        <f>IF(280&lt;=$I$8, INDEX('Precios Diarios'!$E$2:$E$495, $G$8 - 1 + 280 - 1), NA())</f>
        <v/>
      </c>
      <c r="R281">
        <f>IF(280&lt;=$I$8, INDEX('Precios Diarios'!$F$2:$F$495, $G$8 - 1 + 280 - 1), NA())</f>
        <v/>
      </c>
    </row>
    <row r="282">
      <c r="P282" s="2">
        <f>IF(281&lt;=$I$8, INDEX('Precios Diarios'!$A$2:$A$495, $G$8 - 1 + 281 - 1), NA())</f>
        <v/>
      </c>
      <c r="Q282">
        <f>IF(281&lt;=$I$8, INDEX('Precios Diarios'!$E$2:$E$495, $G$8 - 1 + 281 - 1), NA())</f>
        <v/>
      </c>
      <c r="R282">
        <f>IF(281&lt;=$I$8, INDEX('Precios Diarios'!$F$2:$F$495, $G$8 - 1 + 281 - 1), NA())</f>
        <v/>
      </c>
    </row>
    <row r="283">
      <c r="P283" s="2">
        <f>IF(282&lt;=$I$8, INDEX('Precios Diarios'!$A$2:$A$495, $G$8 - 1 + 282 - 1), NA())</f>
        <v/>
      </c>
      <c r="Q283">
        <f>IF(282&lt;=$I$8, INDEX('Precios Diarios'!$E$2:$E$495, $G$8 - 1 + 282 - 1), NA())</f>
        <v/>
      </c>
      <c r="R283">
        <f>IF(282&lt;=$I$8, INDEX('Precios Diarios'!$F$2:$F$495, $G$8 - 1 + 282 - 1), NA())</f>
        <v/>
      </c>
    </row>
    <row r="284">
      <c r="P284" s="2">
        <f>IF(283&lt;=$I$8, INDEX('Precios Diarios'!$A$2:$A$495, $G$8 - 1 + 283 - 1), NA())</f>
        <v/>
      </c>
      <c r="Q284">
        <f>IF(283&lt;=$I$8, INDEX('Precios Diarios'!$E$2:$E$495, $G$8 - 1 + 283 - 1), NA())</f>
        <v/>
      </c>
      <c r="R284">
        <f>IF(283&lt;=$I$8, INDEX('Precios Diarios'!$F$2:$F$495, $G$8 - 1 + 283 - 1), NA())</f>
        <v/>
      </c>
    </row>
    <row r="285">
      <c r="P285" s="2">
        <f>IF(284&lt;=$I$8, INDEX('Precios Diarios'!$A$2:$A$495, $G$8 - 1 + 284 - 1), NA())</f>
        <v/>
      </c>
      <c r="Q285">
        <f>IF(284&lt;=$I$8, INDEX('Precios Diarios'!$E$2:$E$495, $G$8 - 1 + 284 - 1), NA())</f>
        <v/>
      </c>
      <c r="R285">
        <f>IF(284&lt;=$I$8, INDEX('Precios Diarios'!$F$2:$F$495, $G$8 - 1 + 284 - 1), NA())</f>
        <v/>
      </c>
    </row>
    <row r="286">
      <c r="P286" s="2">
        <f>IF(285&lt;=$I$8, INDEX('Precios Diarios'!$A$2:$A$495, $G$8 - 1 + 285 - 1), NA())</f>
        <v/>
      </c>
      <c r="Q286">
        <f>IF(285&lt;=$I$8, INDEX('Precios Diarios'!$E$2:$E$495, $G$8 - 1 + 285 - 1), NA())</f>
        <v/>
      </c>
      <c r="R286">
        <f>IF(285&lt;=$I$8, INDEX('Precios Diarios'!$F$2:$F$495, $G$8 - 1 + 285 - 1), NA())</f>
        <v/>
      </c>
    </row>
    <row r="287">
      <c r="P287" s="2">
        <f>IF(286&lt;=$I$8, INDEX('Precios Diarios'!$A$2:$A$495, $G$8 - 1 + 286 - 1), NA())</f>
        <v/>
      </c>
      <c r="Q287">
        <f>IF(286&lt;=$I$8, INDEX('Precios Diarios'!$E$2:$E$495, $G$8 - 1 + 286 - 1), NA())</f>
        <v/>
      </c>
      <c r="R287">
        <f>IF(286&lt;=$I$8, INDEX('Precios Diarios'!$F$2:$F$495, $G$8 - 1 + 286 - 1), NA())</f>
        <v/>
      </c>
    </row>
    <row r="288">
      <c r="P288" s="2">
        <f>IF(287&lt;=$I$8, INDEX('Precios Diarios'!$A$2:$A$495, $G$8 - 1 + 287 - 1), NA())</f>
        <v/>
      </c>
      <c r="Q288">
        <f>IF(287&lt;=$I$8, INDEX('Precios Diarios'!$E$2:$E$495, $G$8 - 1 + 287 - 1), NA())</f>
        <v/>
      </c>
      <c r="R288">
        <f>IF(287&lt;=$I$8, INDEX('Precios Diarios'!$F$2:$F$495, $G$8 - 1 + 287 - 1), NA())</f>
        <v/>
      </c>
    </row>
    <row r="289">
      <c r="P289" s="2">
        <f>IF(288&lt;=$I$8, INDEX('Precios Diarios'!$A$2:$A$495, $G$8 - 1 + 288 - 1), NA())</f>
        <v/>
      </c>
      <c r="Q289">
        <f>IF(288&lt;=$I$8, INDEX('Precios Diarios'!$E$2:$E$495, $G$8 - 1 + 288 - 1), NA())</f>
        <v/>
      </c>
      <c r="R289">
        <f>IF(288&lt;=$I$8, INDEX('Precios Diarios'!$F$2:$F$495, $G$8 - 1 + 288 - 1), NA())</f>
        <v/>
      </c>
    </row>
    <row r="290">
      <c r="P290" s="2">
        <f>IF(289&lt;=$I$8, INDEX('Precios Diarios'!$A$2:$A$495, $G$8 - 1 + 289 - 1), NA())</f>
        <v/>
      </c>
      <c r="Q290">
        <f>IF(289&lt;=$I$8, INDEX('Precios Diarios'!$E$2:$E$495, $G$8 - 1 + 289 - 1), NA())</f>
        <v/>
      </c>
      <c r="R290">
        <f>IF(289&lt;=$I$8, INDEX('Precios Diarios'!$F$2:$F$495, $G$8 - 1 + 289 - 1), NA())</f>
        <v/>
      </c>
    </row>
    <row r="291">
      <c r="P291" s="2">
        <f>IF(290&lt;=$I$8, INDEX('Precios Diarios'!$A$2:$A$495, $G$8 - 1 + 290 - 1), NA())</f>
        <v/>
      </c>
      <c r="Q291">
        <f>IF(290&lt;=$I$8, INDEX('Precios Diarios'!$E$2:$E$495, $G$8 - 1 + 290 - 1), NA())</f>
        <v/>
      </c>
      <c r="R291">
        <f>IF(290&lt;=$I$8, INDEX('Precios Diarios'!$F$2:$F$495, $G$8 - 1 + 290 - 1), NA())</f>
        <v/>
      </c>
    </row>
    <row r="292">
      <c r="P292" s="2">
        <f>IF(291&lt;=$I$8, INDEX('Precios Diarios'!$A$2:$A$495, $G$8 - 1 + 291 - 1), NA())</f>
        <v/>
      </c>
      <c r="Q292">
        <f>IF(291&lt;=$I$8, INDEX('Precios Diarios'!$E$2:$E$495, $G$8 - 1 + 291 - 1), NA())</f>
        <v/>
      </c>
      <c r="R292">
        <f>IF(291&lt;=$I$8, INDEX('Precios Diarios'!$F$2:$F$495, $G$8 - 1 + 291 - 1), NA())</f>
        <v/>
      </c>
    </row>
    <row r="293">
      <c r="P293" s="2">
        <f>IF(292&lt;=$I$8, INDEX('Precios Diarios'!$A$2:$A$495, $G$8 - 1 + 292 - 1), NA())</f>
        <v/>
      </c>
      <c r="Q293">
        <f>IF(292&lt;=$I$8, INDEX('Precios Diarios'!$E$2:$E$495, $G$8 - 1 + 292 - 1), NA())</f>
        <v/>
      </c>
      <c r="R293">
        <f>IF(292&lt;=$I$8, INDEX('Precios Diarios'!$F$2:$F$495, $G$8 - 1 + 292 - 1), NA())</f>
        <v/>
      </c>
    </row>
    <row r="294">
      <c r="P294" s="2">
        <f>IF(293&lt;=$I$8, INDEX('Precios Diarios'!$A$2:$A$495, $G$8 - 1 + 293 - 1), NA())</f>
        <v/>
      </c>
      <c r="Q294">
        <f>IF(293&lt;=$I$8, INDEX('Precios Diarios'!$E$2:$E$495, $G$8 - 1 + 293 - 1), NA())</f>
        <v/>
      </c>
      <c r="R294">
        <f>IF(293&lt;=$I$8, INDEX('Precios Diarios'!$F$2:$F$495, $G$8 - 1 + 293 - 1), NA())</f>
        <v/>
      </c>
    </row>
    <row r="295">
      <c r="P295" s="2">
        <f>IF(294&lt;=$I$8, INDEX('Precios Diarios'!$A$2:$A$495, $G$8 - 1 + 294 - 1), NA())</f>
        <v/>
      </c>
      <c r="Q295">
        <f>IF(294&lt;=$I$8, INDEX('Precios Diarios'!$E$2:$E$495, $G$8 - 1 + 294 - 1), NA())</f>
        <v/>
      </c>
      <c r="R295">
        <f>IF(294&lt;=$I$8, INDEX('Precios Diarios'!$F$2:$F$495, $G$8 - 1 + 294 - 1), NA())</f>
        <v/>
      </c>
    </row>
    <row r="296">
      <c r="P296" s="2">
        <f>IF(295&lt;=$I$8, INDEX('Precios Diarios'!$A$2:$A$495, $G$8 - 1 + 295 - 1), NA())</f>
        <v/>
      </c>
      <c r="Q296">
        <f>IF(295&lt;=$I$8, INDEX('Precios Diarios'!$E$2:$E$495, $G$8 - 1 + 295 - 1), NA())</f>
        <v/>
      </c>
      <c r="R296">
        <f>IF(295&lt;=$I$8, INDEX('Precios Diarios'!$F$2:$F$495, $G$8 - 1 + 295 - 1), NA())</f>
        <v/>
      </c>
    </row>
    <row r="297">
      <c r="P297" s="2">
        <f>IF(296&lt;=$I$8, INDEX('Precios Diarios'!$A$2:$A$495, $G$8 - 1 + 296 - 1), NA())</f>
        <v/>
      </c>
      <c r="Q297">
        <f>IF(296&lt;=$I$8, INDEX('Precios Diarios'!$E$2:$E$495, $G$8 - 1 + 296 - 1), NA())</f>
        <v/>
      </c>
      <c r="R297">
        <f>IF(296&lt;=$I$8, INDEX('Precios Diarios'!$F$2:$F$495, $G$8 - 1 + 296 - 1), NA())</f>
        <v/>
      </c>
    </row>
    <row r="298">
      <c r="P298" s="2">
        <f>IF(297&lt;=$I$8, INDEX('Precios Diarios'!$A$2:$A$495, $G$8 - 1 + 297 - 1), NA())</f>
        <v/>
      </c>
      <c r="Q298">
        <f>IF(297&lt;=$I$8, INDEX('Precios Diarios'!$E$2:$E$495, $G$8 - 1 + 297 - 1), NA())</f>
        <v/>
      </c>
      <c r="R298">
        <f>IF(297&lt;=$I$8, INDEX('Precios Diarios'!$F$2:$F$495, $G$8 - 1 + 297 - 1), NA())</f>
        <v/>
      </c>
    </row>
    <row r="299">
      <c r="P299" s="2">
        <f>IF(298&lt;=$I$8, INDEX('Precios Diarios'!$A$2:$A$495, $G$8 - 1 + 298 - 1), NA())</f>
        <v/>
      </c>
      <c r="Q299">
        <f>IF(298&lt;=$I$8, INDEX('Precios Diarios'!$E$2:$E$495, $G$8 - 1 + 298 - 1), NA())</f>
        <v/>
      </c>
      <c r="R299">
        <f>IF(298&lt;=$I$8, INDEX('Precios Diarios'!$F$2:$F$495, $G$8 - 1 + 298 - 1), NA())</f>
        <v/>
      </c>
    </row>
    <row r="300">
      <c r="P300" s="2">
        <f>IF(299&lt;=$I$8, INDEX('Precios Diarios'!$A$2:$A$495, $G$8 - 1 + 299 - 1), NA())</f>
        <v/>
      </c>
      <c r="Q300">
        <f>IF(299&lt;=$I$8, INDEX('Precios Diarios'!$E$2:$E$495, $G$8 - 1 + 299 - 1), NA())</f>
        <v/>
      </c>
      <c r="R300">
        <f>IF(299&lt;=$I$8, INDEX('Precios Diarios'!$F$2:$F$495, $G$8 - 1 + 299 - 1), NA())</f>
        <v/>
      </c>
    </row>
    <row r="301">
      <c r="P301" s="2">
        <f>IF(300&lt;=$I$8, INDEX('Precios Diarios'!$A$2:$A$495, $G$8 - 1 + 300 - 1), NA())</f>
        <v/>
      </c>
      <c r="Q301">
        <f>IF(300&lt;=$I$8, INDEX('Precios Diarios'!$E$2:$E$495, $G$8 - 1 + 300 - 1), NA())</f>
        <v/>
      </c>
      <c r="R301">
        <f>IF(300&lt;=$I$8, INDEX('Precios Diarios'!$F$2:$F$495, $G$8 - 1 + 300 - 1), NA())</f>
        <v/>
      </c>
    </row>
    <row r="302">
      <c r="P302" s="2">
        <f>IF(301&lt;=$I$8, INDEX('Precios Diarios'!$A$2:$A$495, $G$8 - 1 + 301 - 1), NA())</f>
        <v/>
      </c>
      <c r="Q302">
        <f>IF(301&lt;=$I$8, INDEX('Precios Diarios'!$E$2:$E$495, $G$8 - 1 + 301 - 1), NA())</f>
        <v/>
      </c>
      <c r="R302">
        <f>IF(301&lt;=$I$8, INDEX('Precios Diarios'!$F$2:$F$495, $G$8 - 1 + 301 - 1), NA())</f>
        <v/>
      </c>
    </row>
    <row r="303">
      <c r="P303" s="2">
        <f>IF(302&lt;=$I$8, INDEX('Precios Diarios'!$A$2:$A$495, $G$8 - 1 + 302 - 1), NA())</f>
        <v/>
      </c>
      <c r="Q303">
        <f>IF(302&lt;=$I$8, INDEX('Precios Diarios'!$E$2:$E$495, $G$8 - 1 + 302 - 1), NA())</f>
        <v/>
      </c>
      <c r="R303">
        <f>IF(302&lt;=$I$8, INDEX('Precios Diarios'!$F$2:$F$495, $G$8 - 1 + 302 - 1), NA())</f>
        <v/>
      </c>
    </row>
    <row r="304">
      <c r="P304" s="2">
        <f>IF(303&lt;=$I$8, INDEX('Precios Diarios'!$A$2:$A$495, $G$8 - 1 + 303 - 1), NA())</f>
        <v/>
      </c>
      <c r="Q304">
        <f>IF(303&lt;=$I$8, INDEX('Precios Diarios'!$E$2:$E$495, $G$8 - 1 + 303 - 1), NA())</f>
        <v/>
      </c>
      <c r="R304">
        <f>IF(303&lt;=$I$8, INDEX('Precios Diarios'!$F$2:$F$495, $G$8 - 1 + 303 - 1), NA())</f>
        <v/>
      </c>
    </row>
    <row r="305">
      <c r="P305" s="2">
        <f>IF(304&lt;=$I$8, INDEX('Precios Diarios'!$A$2:$A$495, $G$8 - 1 + 304 - 1), NA())</f>
        <v/>
      </c>
      <c r="Q305">
        <f>IF(304&lt;=$I$8, INDEX('Precios Diarios'!$E$2:$E$495, $G$8 - 1 + 304 - 1), NA())</f>
        <v/>
      </c>
      <c r="R305">
        <f>IF(304&lt;=$I$8, INDEX('Precios Diarios'!$F$2:$F$495, $G$8 - 1 + 304 - 1), NA())</f>
        <v/>
      </c>
    </row>
    <row r="306">
      <c r="P306" s="2">
        <f>IF(305&lt;=$I$8, INDEX('Precios Diarios'!$A$2:$A$495, $G$8 - 1 + 305 - 1), NA())</f>
        <v/>
      </c>
      <c r="Q306">
        <f>IF(305&lt;=$I$8, INDEX('Precios Diarios'!$E$2:$E$495, $G$8 - 1 + 305 - 1), NA())</f>
        <v/>
      </c>
      <c r="R306">
        <f>IF(305&lt;=$I$8, INDEX('Precios Diarios'!$F$2:$F$495, $G$8 - 1 + 305 - 1), NA())</f>
        <v/>
      </c>
    </row>
    <row r="307">
      <c r="P307" s="2">
        <f>IF(306&lt;=$I$8, INDEX('Precios Diarios'!$A$2:$A$495, $G$8 - 1 + 306 - 1), NA())</f>
        <v/>
      </c>
      <c r="Q307">
        <f>IF(306&lt;=$I$8, INDEX('Precios Diarios'!$E$2:$E$495, $G$8 - 1 + 306 - 1), NA())</f>
        <v/>
      </c>
      <c r="R307">
        <f>IF(306&lt;=$I$8, INDEX('Precios Diarios'!$F$2:$F$495, $G$8 - 1 + 306 - 1), NA())</f>
        <v/>
      </c>
    </row>
    <row r="308">
      <c r="P308" s="2">
        <f>IF(307&lt;=$I$8, INDEX('Precios Diarios'!$A$2:$A$495, $G$8 - 1 + 307 - 1), NA())</f>
        <v/>
      </c>
      <c r="Q308">
        <f>IF(307&lt;=$I$8, INDEX('Precios Diarios'!$E$2:$E$495, $G$8 - 1 + 307 - 1), NA())</f>
        <v/>
      </c>
      <c r="R308">
        <f>IF(307&lt;=$I$8, INDEX('Precios Diarios'!$F$2:$F$495, $G$8 - 1 + 307 - 1), NA())</f>
        <v/>
      </c>
    </row>
    <row r="309">
      <c r="P309" s="2">
        <f>IF(308&lt;=$I$8, INDEX('Precios Diarios'!$A$2:$A$495, $G$8 - 1 + 308 - 1), NA())</f>
        <v/>
      </c>
      <c r="Q309">
        <f>IF(308&lt;=$I$8, INDEX('Precios Diarios'!$E$2:$E$495, $G$8 - 1 + 308 - 1), NA())</f>
        <v/>
      </c>
      <c r="R309">
        <f>IF(308&lt;=$I$8, INDEX('Precios Diarios'!$F$2:$F$495, $G$8 - 1 + 308 - 1), NA())</f>
        <v/>
      </c>
    </row>
    <row r="310">
      <c r="P310" s="2">
        <f>IF(309&lt;=$I$8, INDEX('Precios Diarios'!$A$2:$A$495, $G$8 - 1 + 309 - 1), NA())</f>
        <v/>
      </c>
      <c r="Q310">
        <f>IF(309&lt;=$I$8, INDEX('Precios Diarios'!$E$2:$E$495, $G$8 - 1 + 309 - 1), NA())</f>
        <v/>
      </c>
      <c r="R310">
        <f>IF(309&lt;=$I$8, INDEX('Precios Diarios'!$F$2:$F$495, $G$8 - 1 + 309 - 1), NA())</f>
        <v/>
      </c>
    </row>
    <row r="311">
      <c r="P311" s="2">
        <f>IF(310&lt;=$I$8, INDEX('Precios Diarios'!$A$2:$A$495, $G$8 - 1 + 310 - 1), NA())</f>
        <v/>
      </c>
      <c r="Q311">
        <f>IF(310&lt;=$I$8, INDEX('Precios Diarios'!$E$2:$E$495, $G$8 - 1 + 310 - 1), NA())</f>
        <v/>
      </c>
      <c r="R311">
        <f>IF(310&lt;=$I$8, INDEX('Precios Diarios'!$F$2:$F$495, $G$8 - 1 + 310 - 1), NA())</f>
        <v/>
      </c>
    </row>
    <row r="312">
      <c r="P312" s="2">
        <f>IF(311&lt;=$I$8, INDEX('Precios Diarios'!$A$2:$A$495, $G$8 - 1 + 311 - 1), NA())</f>
        <v/>
      </c>
      <c r="Q312">
        <f>IF(311&lt;=$I$8, INDEX('Precios Diarios'!$E$2:$E$495, $G$8 - 1 + 311 - 1), NA())</f>
        <v/>
      </c>
      <c r="R312">
        <f>IF(311&lt;=$I$8, INDEX('Precios Diarios'!$F$2:$F$495, $G$8 - 1 + 311 - 1), NA())</f>
        <v/>
      </c>
    </row>
    <row r="313">
      <c r="P313" s="2">
        <f>IF(312&lt;=$I$8, INDEX('Precios Diarios'!$A$2:$A$495, $G$8 - 1 + 312 - 1), NA())</f>
        <v/>
      </c>
      <c r="Q313">
        <f>IF(312&lt;=$I$8, INDEX('Precios Diarios'!$E$2:$E$495, $G$8 - 1 + 312 - 1), NA())</f>
        <v/>
      </c>
      <c r="R313">
        <f>IF(312&lt;=$I$8, INDEX('Precios Diarios'!$F$2:$F$495, $G$8 - 1 + 312 - 1), NA())</f>
        <v/>
      </c>
    </row>
    <row r="314">
      <c r="P314" s="2">
        <f>IF(313&lt;=$I$8, INDEX('Precios Diarios'!$A$2:$A$495, $G$8 - 1 + 313 - 1), NA())</f>
        <v/>
      </c>
      <c r="Q314">
        <f>IF(313&lt;=$I$8, INDEX('Precios Diarios'!$E$2:$E$495, $G$8 - 1 + 313 - 1), NA())</f>
        <v/>
      </c>
      <c r="R314">
        <f>IF(313&lt;=$I$8, INDEX('Precios Diarios'!$F$2:$F$495, $G$8 - 1 + 313 - 1), NA())</f>
        <v/>
      </c>
    </row>
    <row r="315">
      <c r="P315" s="2">
        <f>IF(314&lt;=$I$8, INDEX('Precios Diarios'!$A$2:$A$495, $G$8 - 1 + 314 - 1), NA())</f>
        <v/>
      </c>
      <c r="Q315">
        <f>IF(314&lt;=$I$8, INDEX('Precios Diarios'!$E$2:$E$495, $G$8 - 1 + 314 - 1), NA())</f>
        <v/>
      </c>
      <c r="R315">
        <f>IF(314&lt;=$I$8, INDEX('Precios Diarios'!$F$2:$F$495, $G$8 - 1 + 314 - 1), NA())</f>
        <v/>
      </c>
    </row>
    <row r="316">
      <c r="P316" s="2">
        <f>IF(315&lt;=$I$8, INDEX('Precios Diarios'!$A$2:$A$495, $G$8 - 1 + 315 - 1), NA())</f>
        <v/>
      </c>
      <c r="Q316">
        <f>IF(315&lt;=$I$8, INDEX('Precios Diarios'!$E$2:$E$495, $G$8 - 1 + 315 - 1), NA())</f>
        <v/>
      </c>
      <c r="R316">
        <f>IF(315&lt;=$I$8, INDEX('Precios Diarios'!$F$2:$F$495, $G$8 - 1 + 315 - 1), NA())</f>
        <v/>
      </c>
    </row>
    <row r="317">
      <c r="P317" s="2">
        <f>IF(316&lt;=$I$8, INDEX('Precios Diarios'!$A$2:$A$495, $G$8 - 1 + 316 - 1), NA())</f>
        <v/>
      </c>
      <c r="Q317">
        <f>IF(316&lt;=$I$8, INDEX('Precios Diarios'!$E$2:$E$495, $G$8 - 1 + 316 - 1), NA())</f>
        <v/>
      </c>
      <c r="R317">
        <f>IF(316&lt;=$I$8, INDEX('Precios Diarios'!$F$2:$F$495, $G$8 - 1 + 316 - 1), NA())</f>
        <v/>
      </c>
    </row>
    <row r="318">
      <c r="P318" s="2">
        <f>IF(317&lt;=$I$8, INDEX('Precios Diarios'!$A$2:$A$495, $G$8 - 1 + 317 - 1), NA())</f>
        <v/>
      </c>
      <c r="Q318">
        <f>IF(317&lt;=$I$8, INDEX('Precios Diarios'!$E$2:$E$495, $G$8 - 1 + 317 - 1), NA())</f>
        <v/>
      </c>
      <c r="R318">
        <f>IF(317&lt;=$I$8, INDEX('Precios Diarios'!$F$2:$F$495, $G$8 - 1 + 317 - 1), NA())</f>
        <v/>
      </c>
    </row>
    <row r="319">
      <c r="P319" s="2">
        <f>IF(318&lt;=$I$8, INDEX('Precios Diarios'!$A$2:$A$495, $G$8 - 1 + 318 - 1), NA())</f>
        <v/>
      </c>
      <c r="Q319">
        <f>IF(318&lt;=$I$8, INDEX('Precios Diarios'!$E$2:$E$495, $G$8 - 1 + 318 - 1), NA())</f>
        <v/>
      </c>
      <c r="R319">
        <f>IF(318&lt;=$I$8, INDEX('Precios Diarios'!$F$2:$F$495, $G$8 - 1 + 318 - 1), NA())</f>
        <v/>
      </c>
    </row>
    <row r="320">
      <c r="P320" s="2">
        <f>IF(319&lt;=$I$8, INDEX('Precios Diarios'!$A$2:$A$495, $G$8 - 1 + 319 - 1), NA())</f>
        <v/>
      </c>
      <c r="Q320">
        <f>IF(319&lt;=$I$8, INDEX('Precios Diarios'!$E$2:$E$495, $G$8 - 1 + 319 - 1), NA())</f>
        <v/>
      </c>
      <c r="R320">
        <f>IF(319&lt;=$I$8, INDEX('Precios Diarios'!$F$2:$F$495, $G$8 - 1 + 319 - 1), NA())</f>
        <v/>
      </c>
    </row>
    <row r="321">
      <c r="P321" s="2">
        <f>IF(320&lt;=$I$8, INDEX('Precios Diarios'!$A$2:$A$495, $G$8 - 1 + 320 - 1), NA())</f>
        <v/>
      </c>
      <c r="Q321">
        <f>IF(320&lt;=$I$8, INDEX('Precios Diarios'!$E$2:$E$495, $G$8 - 1 + 320 - 1), NA())</f>
        <v/>
      </c>
      <c r="R321">
        <f>IF(320&lt;=$I$8, INDEX('Precios Diarios'!$F$2:$F$495, $G$8 - 1 + 320 - 1), NA())</f>
        <v/>
      </c>
    </row>
    <row r="322">
      <c r="P322" s="2">
        <f>IF(321&lt;=$I$8, INDEX('Precios Diarios'!$A$2:$A$495, $G$8 - 1 + 321 - 1), NA())</f>
        <v/>
      </c>
      <c r="Q322">
        <f>IF(321&lt;=$I$8, INDEX('Precios Diarios'!$E$2:$E$495, $G$8 - 1 + 321 - 1), NA())</f>
        <v/>
      </c>
      <c r="R322">
        <f>IF(321&lt;=$I$8, INDEX('Precios Diarios'!$F$2:$F$495, $G$8 - 1 + 321 - 1), NA())</f>
        <v/>
      </c>
    </row>
    <row r="323">
      <c r="P323" s="2">
        <f>IF(322&lt;=$I$8, INDEX('Precios Diarios'!$A$2:$A$495, $G$8 - 1 + 322 - 1), NA())</f>
        <v/>
      </c>
      <c r="Q323">
        <f>IF(322&lt;=$I$8, INDEX('Precios Diarios'!$E$2:$E$495, $G$8 - 1 + 322 - 1), NA())</f>
        <v/>
      </c>
      <c r="R323">
        <f>IF(322&lt;=$I$8, INDEX('Precios Diarios'!$F$2:$F$495, $G$8 - 1 + 322 - 1), NA())</f>
        <v/>
      </c>
    </row>
    <row r="324">
      <c r="P324" s="2">
        <f>IF(323&lt;=$I$8, INDEX('Precios Diarios'!$A$2:$A$495, $G$8 - 1 + 323 - 1), NA())</f>
        <v/>
      </c>
      <c r="Q324">
        <f>IF(323&lt;=$I$8, INDEX('Precios Diarios'!$E$2:$E$495, $G$8 - 1 + 323 - 1), NA())</f>
        <v/>
      </c>
      <c r="R324">
        <f>IF(323&lt;=$I$8, INDEX('Precios Diarios'!$F$2:$F$495, $G$8 - 1 + 323 - 1), NA())</f>
        <v/>
      </c>
    </row>
    <row r="325">
      <c r="P325" s="2">
        <f>IF(324&lt;=$I$8, INDEX('Precios Diarios'!$A$2:$A$495, $G$8 - 1 + 324 - 1), NA())</f>
        <v/>
      </c>
      <c r="Q325">
        <f>IF(324&lt;=$I$8, INDEX('Precios Diarios'!$E$2:$E$495, $G$8 - 1 + 324 - 1), NA())</f>
        <v/>
      </c>
      <c r="R325">
        <f>IF(324&lt;=$I$8, INDEX('Precios Diarios'!$F$2:$F$495, $G$8 - 1 + 324 - 1), NA())</f>
        <v/>
      </c>
    </row>
    <row r="326">
      <c r="P326" s="2">
        <f>IF(325&lt;=$I$8, INDEX('Precios Diarios'!$A$2:$A$495, $G$8 - 1 + 325 - 1), NA())</f>
        <v/>
      </c>
      <c r="Q326">
        <f>IF(325&lt;=$I$8, INDEX('Precios Diarios'!$E$2:$E$495, $G$8 - 1 + 325 - 1), NA())</f>
        <v/>
      </c>
      <c r="R326">
        <f>IF(325&lt;=$I$8, INDEX('Precios Diarios'!$F$2:$F$495, $G$8 - 1 + 325 - 1), NA())</f>
        <v/>
      </c>
    </row>
    <row r="327">
      <c r="P327" s="2">
        <f>IF(326&lt;=$I$8, INDEX('Precios Diarios'!$A$2:$A$495, $G$8 - 1 + 326 - 1), NA())</f>
        <v/>
      </c>
      <c r="Q327">
        <f>IF(326&lt;=$I$8, INDEX('Precios Diarios'!$E$2:$E$495, $G$8 - 1 + 326 - 1), NA())</f>
        <v/>
      </c>
      <c r="R327">
        <f>IF(326&lt;=$I$8, INDEX('Precios Diarios'!$F$2:$F$495, $G$8 - 1 + 326 - 1), NA())</f>
        <v/>
      </c>
    </row>
    <row r="328">
      <c r="P328" s="2">
        <f>IF(327&lt;=$I$8, INDEX('Precios Diarios'!$A$2:$A$495, $G$8 - 1 + 327 - 1), NA())</f>
        <v/>
      </c>
      <c r="Q328">
        <f>IF(327&lt;=$I$8, INDEX('Precios Diarios'!$E$2:$E$495, $G$8 - 1 + 327 - 1), NA())</f>
        <v/>
      </c>
      <c r="R328">
        <f>IF(327&lt;=$I$8, INDEX('Precios Diarios'!$F$2:$F$495, $G$8 - 1 + 327 - 1), NA())</f>
        <v/>
      </c>
    </row>
    <row r="329">
      <c r="P329" s="2">
        <f>IF(328&lt;=$I$8, INDEX('Precios Diarios'!$A$2:$A$495, $G$8 - 1 + 328 - 1), NA())</f>
        <v/>
      </c>
      <c r="Q329">
        <f>IF(328&lt;=$I$8, INDEX('Precios Diarios'!$E$2:$E$495, $G$8 - 1 + 328 - 1), NA())</f>
        <v/>
      </c>
      <c r="R329">
        <f>IF(328&lt;=$I$8, INDEX('Precios Diarios'!$F$2:$F$495, $G$8 - 1 + 328 - 1), NA())</f>
        <v/>
      </c>
    </row>
    <row r="330">
      <c r="P330" s="2">
        <f>IF(329&lt;=$I$8, INDEX('Precios Diarios'!$A$2:$A$495, $G$8 - 1 + 329 - 1), NA())</f>
        <v/>
      </c>
      <c r="Q330">
        <f>IF(329&lt;=$I$8, INDEX('Precios Diarios'!$E$2:$E$495, $G$8 - 1 + 329 - 1), NA())</f>
        <v/>
      </c>
      <c r="R330">
        <f>IF(329&lt;=$I$8, INDEX('Precios Diarios'!$F$2:$F$495, $G$8 - 1 + 329 - 1), NA())</f>
        <v/>
      </c>
    </row>
    <row r="331">
      <c r="P331" s="2">
        <f>IF(330&lt;=$I$8, INDEX('Precios Diarios'!$A$2:$A$495, $G$8 - 1 + 330 - 1), NA())</f>
        <v/>
      </c>
      <c r="Q331">
        <f>IF(330&lt;=$I$8, INDEX('Precios Diarios'!$E$2:$E$495, $G$8 - 1 + 330 - 1), NA())</f>
        <v/>
      </c>
      <c r="R331">
        <f>IF(330&lt;=$I$8, INDEX('Precios Diarios'!$F$2:$F$495, $G$8 - 1 + 330 - 1), NA())</f>
        <v/>
      </c>
    </row>
    <row r="332">
      <c r="P332" s="2">
        <f>IF(331&lt;=$I$8, INDEX('Precios Diarios'!$A$2:$A$495, $G$8 - 1 + 331 - 1), NA())</f>
        <v/>
      </c>
      <c r="Q332">
        <f>IF(331&lt;=$I$8, INDEX('Precios Diarios'!$E$2:$E$495, $G$8 - 1 + 331 - 1), NA())</f>
        <v/>
      </c>
      <c r="R332">
        <f>IF(331&lt;=$I$8, INDEX('Precios Diarios'!$F$2:$F$495, $G$8 - 1 + 331 - 1), NA())</f>
        <v/>
      </c>
    </row>
    <row r="333">
      <c r="P333" s="2">
        <f>IF(332&lt;=$I$8, INDEX('Precios Diarios'!$A$2:$A$495, $G$8 - 1 + 332 - 1), NA())</f>
        <v/>
      </c>
      <c r="Q333">
        <f>IF(332&lt;=$I$8, INDEX('Precios Diarios'!$E$2:$E$495, $G$8 - 1 + 332 - 1), NA())</f>
        <v/>
      </c>
      <c r="R333">
        <f>IF(332&lt;=$I$8, INDEX('Precios Diarios'!$F$2:$F$495, $G$8 - 1 + 332 - 1), NA())</f>
        <v/>
      </c>
    </row>
    <row r="334">
      <c r="P334" s="2">
        <f>IF(333&lt;=$I$8, INDEX('Precios Diarios'!$A$2:$A$495, $G$8 - 1 + 333 - 1), NA())</f>
        <v/>
      </c>
      <c r="Q334">
        <f>IF(333&lt;=$I$8, INDEX('Precios Diarios'!$E$2:$E$495, $G$8 - 1 + 333 - 1), NA())</f>
        <v/>
      </c>
      <c r="R334">
        <f>IF(333&lt;=$I$8, INDEX('Precios Diarios'!$F$2:$F$495, $G$8 - 1 + 333 - 1), NA())</f>
        <v/>
      </c>
    </row>
    <row r="335">
      <c r="P335" s="2">
        <f>IF(334&lt;=$I$8, INDEX('Precios Diarios'!$A$2:$A$495, $G$8 - 1 + 334 - 1), NA())</f>
        <v/>
      </c>
      <c r="Q335">
        <f>IF(334&lt;=$I$8, INDEX('Precios Diarios'!$E$2:$E$495, $G$8 - 1 + 334 - 1), NA())</f>
        <v/>
      </c>
      <c r="R335">
        <f>IF(334&lt;=$I$8, INDEX('Precios Diarios'!$F$2:$F$495, $G$8 - 1 + 334 - 1), NA())</f>
        <v/>
      </c>
    </row>
    <row r="336">
      <c r="P336" s="2">
        <f>IF(335&lt;=$I$8, INDEX('Precios Diarios'!$A$2:$A$495, $G$8 - 1 + 335 - 1), NA())</f>
        <v/>
      </c>
      <c r="Q336">
        <f>IF(335&lt;=$I$8, INDEX('Precios Diarios'!$E$2:$E$495, $G$8 - 1 + 335 - 1), NA())</f>
        <v/>
      </c>
      <c r="R336">
        <f>IF(335&lt;=$I$8, INDEX('Precios Diarios'!$F$2:$F$495, $G$8 - 1 + 335 - 1), NA())</f>
        <v/>
      </c>
    </row>
    <row r="337">
      <c r="P337" s="2">
        <f>IF(336&lt;=$I$8, INDEX('Precios Diarios'!$A$2:$A$495, $G$8 - 1 + 336 - 1), NA())</f>
        <v/>
      </c>
      <c r="Q337">
        <f>IF(336&lt;=$I$8, INDEX('Precios Diarios'!$E$2:$E$495, $G$8 - 1 + 336 - 1), NA())</f>
        <v/>
      </c>
      <c r="R337">
        <f>IF(336&lt;=$I$8, INDEX('Precios Diarios'!$F$2:$F$495, $G$8 - 1 + 336 - 1), NA())</f>
        <v/>
      </c>
    </row>
    <row r="338">
      <c r="P338" s="2">
        <f>IF(337&lt;=$I$8, INDEX('Precios Diarios'!$A$2:$A$495, $G$8 - 1 + 337 - 1), NA())</f>
        <v/>
      </c>
      <c r="Q338">
        <f>IF(337&lt;=$I$8, INDEX('Precios Diarios'!$E$2:$E$495, $G$8 - 1 + 337 - 1), NA())</f>
        <v/>
      </c>
      <c r="R338">
        <f>IF(337&lt;=$I$8, INDEX('Precios Diarios'!$F$2:$F$495, $G$8 - 1 + 337 - 1), NA())</f>
        <v/>
      </c>
    </row>
    <row r="339">
      <c r="P339" s="2">
        <f>IF(338&lt;=$I$8, INDEX('Precios Diarios'!$A$2:$A$495, $G$8 - 1 + 338 - 1), NA())</f>
        <v/>
      </c>
      <c r="Q339">
        <f>IF(338&lt;=$I$8, INDEX('Precios Diarios'!$E$2:$E$495, $G$8 - 1 + 338 - 1), NA())</f>
        <v/>
      </c>
      <c r="R339">
        <f>IF(338&lt;=$I$8, INDEX('Precios Diarios'!$F$2:$F$495, $G$8 - 1 + 338 - 1), NA())</f>
        <v/>
      </c>
    </row>
    <row r="340">
      <c r="P340" s="2">
        <f>IF(339&lt;=$I$8, INDEX('Precios Diarios'!$A$2:$A$495, $G$8 - 1 + 339 - 1), NA())</f>
        <v/>
      </c>
      <c r="Q340">
        <f>IF(339&lt;=$I$8, INDEX('Precios Diarios'!$E$2:$E$495, $G$8 - 1 + 339 - 1), NA())</f>
        <v/>
      </c>
      <c r="R340">
        <f>IF(339&lt;=$I$8, INDEX('Precios Diarios'!$F$2:$F$495, $G$8 - 1 + 339 - 1), NA())</f>
        <v/>
      </c>
    </row>
    <row r="341">
      <c r="P341" s="2">
        <f>IF(340&lt;=$I$8, INDEX('Precios Diarios'!$A$2:$A$495, $G$8 - 1 + 340 - 1), NA())</f>
        <v/>
      </c>
      <c r="Q341">
        <f>IF(340&lt;=$I$8, INDEX('Precios Diarios'!$E$2:$E$495, $G$8 - 1 + 340 - 1), NA())</f>
        <v/>
      </c>
      <c r="R341">
        <f>IF(340&lt;=$I$8, INDEX('Precios Diarios'!$F$2:$F$495, $G$8 - 1 + 340 - 1), NA())</f>
        <v/>
      </c>
    </row>
    <row r="342">
      <c r="P342" s="2">
        <f>IF(341&lt;=$I$8, INDEX('Precios Diarios'!$A$2:$A$495, $G$8 - 1 + 341 - 1), NA())</f>
        <v/>
      </c>
      <c r="Q342">
        <f>IF(341&lt;=$I$8, INDEX('Precios Diarios'!$E$2:$E$495, $G$8 - 1 + 341 - 1), NA())</f>
        <v/>
      </c>
      <c r="R342">
        <f>IF(341&lt;=$I$8, INDEX('Precios Diarios'!$F$2:$F$495, $G$8 - 1 + 341 - 1), NA())</f>
        <v/>
      </c>
    </row>
    <row r="343">
      <c r="P343" s="2">
        <f>IF(342&lt;=$I$8, INDEX('Precios Diarios'!$A$2:$A$495, $G$8 - 1 + 342 - 1), NA())</f>
        <v/>
      </c>
      <c r="Q343">
        <f>IF(342&lt;=$I$8, INDEX('Precios Diarios'!$E$2:$E$495, $G$8 - 1 + 342 - 1), NA())</f>
        <v/>
      </c>
      <c r="R343">
        <f>IF(342&lt;=$I$8, INDEX('Precios Diarios'!$F$2:$F$495, $G$8 - 1 + 342 - 1), NA())</f>
        <v/>
      </c>
    </row>
    <row r="344">
      <c r="P344" s="2">
        <f>IF(343&lt;=$I$8, INDEX('Precios Diarios'!$A$2:$A$495, $G$8 - 1 + 343 - 1), NA())</f>
        <v/>
      </c>
      <c r="Q344">
        <f>IF(343&lt;=$I$8, INDEX('Precios Diarios'!$E$2:$E$495, $G$8 - 1 + 343 - 1), NA())</f>
        <v/>
      </c>
      <c r="R344">
        <f>IF(343&lt;=$I$8, INDEX('Precios Diarios'!$F$2:$F$495, $G$8 - 1 + 343 - 1), NA())</f>
        <v/>
      </c>
    </row>
    <row r="345">
      <c r="P345" s="2">
        <f>IF(344&lt;=$I$8, INDEX('Precios Diarios'!$A$2:$A$495, $G$8 - 1 + 344 - 1), NA())</f>
        <v/>
      </c>
      <c r="Q345">
        <f>IF(344&lt;=$I$8, INDEX('Precios Diarios'!$E$2:$E$495, $G$8 - 1 + 344 - 1), NA())</f>
        <v/>
      </c>
      <c r="R345">
        <f>IF(344&lt;=$I$8, INDEX('Precios Diarios'!$F$2:$F$495, $G$8 - 1 + 344 - 1), NA())</f>
        <v/>
      </c>
    </row>
    <row r="346">
      <c r="P346" s="2">
        <f>IF(345&lt;=$I$8, INDEX('Precios Diarios'!$A$2:$A$495, $G$8 - 1 + 345 - 1), NA())</f>
        <v/>
      </c>
      <c r="Q346">
        <f>IF(345&lt;=$I$8, INDEX('Precios Diarios'!$E$2:$E$495, $G$8 - 1 + 345 - 1), NA())</f>
        <v/>
      </c>
      <c r="R346">
        <f>IF(345&lt;=$I$8, INDEX('Precios Diarios'!$F$2:$F$495, $G$8 - 1 + 345 - 1), NA())</f>
        <v/>
      </c>
    </row>
    <row r="347">
      <c r="P347" s="2">
        <f>IF(346&lt;=$I$8, INDEX('Precios Diarios'!$A$2:$A$495, $G$8 - 1 + 346 - 1), NA())</f>
        <v/>
      </c>
      <c r="Q347">
        <f>IF(346&lt;=$I$8, INDEX('Precios Diarios'!$E$2:$E$495, $G$8 - 1 + 346 - 1), NA())</f>
        <v/>
      </c>
      <c r="R347">
        <f>IF(346&lt;=$I$8, INDEX('Precios Diarios'!$F$2:$F$495, $G$8 - 1 + 346 - 1), NA())</f>
        <v/>
      </c>
    </row>
    <row r="348">
      <c r="P348" s="2">
        <f>IF(347&lt;=$I$8, INDEX('Precios Diarios'!$A$2:$A$495, $G$8 - 1 + 347 - 1), NA())</f>
        <v/>
      </c>
      <c r="Q348">
        <f>IF(347&lt;=$I$8, INDEX('Precios Diarios'!$E$2:$E$495, $G$8 - 1 + 347 - 1), NA())</f>
        <v/>
      </c>
      <c r="R348">
        <f>IF(347&lt;=$I$8, INDEX('Precios Diarios'!$F$2:$F$495, $G$8 - 1 + 347 - 1), NA())</f>
        <v/>
      </c>
    </row>
    <row r="349">
      <c r="P349" s="2">
        <f>IF(348&lt;=$I$8, INDEX('Precios Diarios'!$A$2:$A$495, $G$8 - 1 + 348 - 1), NA())</f>
        <v/>
      </c>
      <c r="Q349">
        <f>IF(348&lt;=$I$8, INDEX('Precios Diarios'!$E$2:$E$495, $G$8 - 1 + 348 - 1), NA())</f>
        <v/>
      </c>
      <c r="R349">
        <f>IF(348&lt;=$I$8, INDEX('Precios Diarios'!$F$2:$F$495, $G$8 - 1 + 348 - 1), NA())</f>
        <v/>
      </c>
    </row>
    <row r="350">
      <c r="P350" s="2">
        <f>IF(349&lt;=$I$8, INDEX('Precios Diarios'!$A$2:$A$495, $G$8 - 1 + 349 - 1), NA())</f>
        <v/>
      </c>
      <c r="Q350">
        <f>IF(349&lt;=$I$8, INDEX('Precios Diarios'!$E$2:$E$495, $G$8 - 1 + 349 - 1), NA())</f>
        <v/>
      </c>
      <c r="R350">
        <f>IF(349&lt;=$I$8, INDEX('Precios Diarios'!$F$2:$F$495, $G$8 - 1 + 349 - 1), NA())</f>
        <v/>
      </c>
    </row>
    <row r="351">
      <c r="P351" s="2">
        <f>IF(350&lt;=$I$8, INDEX('Precios Diarios'!$A$2:$A$495, $G$8 - 1 + 350 - 1), NA())</f>
        <v/>
      </c>
      <c r="Q351">
        <f>IF(350&lt;=$I$8, INDEX('Precios Diarios'!$E$2:$E$495, $G$8 - 1 + 350 - 1), NA())</f>
        <v/>
      </c>
      <c r="R351">
        <f>IF(350&lt;=$I$8, INDEX('Precios Diarios'!$F$2:$F$495, $G$8 - 1 + 350 - 1), NA())</f>
        <v/>
      </c>
    </row>
    <row r="352">
      <c r="P352" s="2">
        <f>IF(351&lt;=$I$8, INDEX('Precios Diarios'!$A$2:$A$495, $G$8 - 1 + 351 - 1), NA())</f>
        <v/>
      </c>
      <c r="Q352">
        <f>IF(351&lt;=$I$8, INDEX('Precios Diarios'!$E$2:$E$495, $G$8 - 1 + 351 - 1), NA())</f>
        <v/>
      </c>
      <c r="R352">
        <f>IF(351&lt;=$I$8, INDEX('Precios Diarios'!$F$2:$F$495, $G$8 - 1 + 351 - 1), NA())</f>
        <v/>
      </c>
    </row>
    <row r="353">
      <c r="P353" s="2">
        <f>IF(352&lt;=$I$8, INDEX('Precios Diarios'!$A$2:$A$495, $G$8 - 1 + 352 - 1), NA())</f>
        <v/>
      </c>
      <c r="Q353">
        <f>IF(352&lt;=$I$8, INDEX('Precios Diarios'!$E$2:$E$495, $G$8 - 1 + 352 - 1), NA())</f>
        <v/>
      </c>
      <c r="R353">
        <f>IF(352&lt;=$I$8, INDEX('Precios Diarios'!$F$2:$F$495, $G$8 - 1 + 352 - 1), NA())</f>
        <v/>
      </c>
    </row>
    <row r="354">
      <c r="P354" s="2">
        <f>IF(353&lt;=$I$8, INDEX('Precios Diarios'!$A$2:$A$495, $G$8 - 1 + 353 - 1), NA())</f>
        <v/>
      </c>
      <c r="Q354">
        <f>IF(353&lt;=$I$8, INDEX('Precios Diarios'!$E$2:$E$495, $G$8 - 1 + 353 - 1), NA())</f>
        <v/>
      </c>
      <c r="R354">
        <f>IF(353&lt;=$I$8, INDEX('Precios Diarios'!$F$2:$F$495, $G$8 - 1 + 353 - 1), NA())</f>
        <v/>
      </c>
    </row>
    <row r="355">
      <c r="P355" s="2">
        <f>IF(354&lt;=$I$8, INDEX('Precios Diarios'!$A$2:$A$495, $G$8 - 1 + 354 - 1), NA())</f>
        <v/>
      </c>
      <c r="Q355">
        <f>IF(354&lt;=$I$8, INDEX('Precios Diarios'!$E$2:$E$495, $G$8 - 1 + 354 - 1), NA())</f>
        <v/>
      </c>
      <c r="R355">
        <f>IF(354&lt;=$I$8, INDEX('Precios Diarios'!$F$2:$F$495, $G$8 - 1 + 354 - 1), NA())</f>
        <v/>
      </c>
    </row>
    <row r="356">
      <c r="P356" s="2">
        <f>IF(355&lt;=$I$8, INDEX('Precios Diarios'!$A$2:$A$495, $G$8 - 1 + 355 - 1), NA())</f>
        <v/>
      </c>
      <c r="Q356">
        <f>IF(355&lt;=$I$8, INDEX('Precios Diarios'!$E$2:$E$495, $G$8 - 1 + 355 - 1), NA())</f>
        <v/>
      </c>
      <c r="R356">
        <f>IF(355&lt;=$I$8, INDEX('Precios Diarios'!$F$2:$F$495, $G$8 - 1 + 355 - 1), NA())</f>
        <v/>
      </c>
    </row>
    <row r="357">
      <c r="P357" s="2">
        <f>IF(356&lt;=$I$8, INDEX('Precios Diarios'!$A$2:$A$495, $G$8 - 1 + 356 - 1), NA())</f>
        <v/>
      </c>
      <c r="Q357">
        <f>IF(356&lt;=$I$8, INDEX('Precios Diarios'!$E$2:$E$495, $G$8 - 1 + 356 - 1), NA())</f>
        <v/>
      </c>
      <c r="R357">
        <f>IF(356&lt;=$I$8, INDEX('Precios Diarios'!$F$2:$F$495, $G$8 - 1 + 356 - 1), NA())</f>
        <v/>
      </c>
    </row>
    <row r="358">
      <c r="P358" s="2">
        <f>IF(357&lt;=$I$8, INDEX('Precios Diarios'!$A$2:$A$495, $G$8 - 1 + 357 - 1), NA())</f>
        <v/>
      </c>
      <c r="Q358">
        <f>IF(357&lt;=$I$8, INDEX('Precios Diarios'!$E$2:$E$495, $G$8 - 1 + 357 - 1), NA())</f>
        <v/>
      </c>
      <c r="R358">
        <f>IF(357&lt;=$I$8, INDEX('Precios Diarios'!$F$2:$F$495, $G$8 - 1 + 357 - 1), NA())</f>
        <v/>
      </c>
    </row>
    <row r="359">
      <c r="P359" s="2">
        <f>IF(358&lt;=$I$8, INDEX('Precios Diarios'!$A$2:$A$495, $G$8 - 1 + 358 - 1), NA())</f>
        <v/>
      </c>
      <c r="Q359">
        <f>IF(358&lt;=$I$8, INDEX('Precios Diarios'!$E$2:$E$495, $G$8 - 1 + 358 - 1), NA())</f>
        <v/>
      </c>
      <c r="R359">
        <f>IF(358&lt;=$I$8, INDEX('Precios Diarios'!$F$2:$F$495, $G$8 - 1 + 358 - 1), NA())</f>
        <v/>
      </c>
    </row>
    <row r="360">
      <c r="P360" s="2">
        <f>IF(359&lt;=$I$8, INDEX('Precios Diarios'!$A$2:$A$495, $G$8 - 1 + 359 - 1), NA())</f>
        <v/>
      </c>
      <c r="Q360">
        <f>IF(359&lt;=$I$8, INDEX('Precios Diarios'!$E$2:$E$495, $G$8 - 1 + 359 - 1), NA())</f>
        <v/>
      </c>
      <c r="R360">
        <f>IF(359&lt;=$I$8, INDEX('Precios Diarios'!$F$2:$F$495, $G$8 - 1 + 359 - 1), NA())</f>
        <v/>
      </c>
    </row>
    <row r="361">
      <c r="P361" s="2">
        <f>IF(360&lt;=$I$8, INDEX('Precios Diarios'!$A$2:$A$495, $G$8 - 1 + 360 - 1), NA())</f>
        <v/>
      </c>
      <c r="Q361">
        <f>IF(360&lt;=$I$8, INDEX('Precios Diarios'!$E$2:$E$495, $G$8 - 1 + 360 - 1), NA())</f>
        <v/>
      </c>
      <c r="R361">
        <f>IF(360&lt;=$I$8, INDEX('Precios Diarios'!$F$2:$F$495, $G$8 - 1 + 360 - 1), NA())</f>
        <v/>
      </c>
    </row>
    <row r="362">
      <c r="P362" s="2">
        <f>IF(361&lt;=$I$8, INDEX('Precios Diarios'!$A$2:$A$495, $G$8 - 1 + 361 - 1), NA())</f>
        <v/>
      </c>
      <c r="Q362">
        <f>IF(361&lt;=$I$8, INDEX('Precios Diarios'!$E$2:$E$495, $G$8 - 1 + 361 - 1), NA())</f>
        <v/>
      </c>
      <c r="R362">
        <f>IF(361&lt;=$I$8, INDEX('Precios Diarios'!$F$2:$F$495, $G$8 - 1 + 361 - 1), NA())</f>
        <v/>
      </c>
    </row>
    <row r="363">
      <c r="P363" s="2">
        <f>IF(362&lt;=$I$8, INDEX('Precios Diarios'!$A$2:$A$495, $G$8 - 1 + 362 - 1), NA())</f>
        <v/>
      </c>
      <c r="Q363">
        <f>IF(362&lt;=$I$8, INDEX('Precios Diarios'!$E$2:$E$495, $G$8 - 1 + 362 - 1), NA())</f>
        <v/>
      </c>
      <c r="R363">
        <f>IF(362&lt;=$I$8, INDEX('Precios Diarios'!$F$2:$F$495, $G$8 - 1 + 362 - 1), NA())</f>
        <v/>
      </c>
    </row>
    <row r="364">
      <c r="P364" s="2">
        <f>IF(363&lt;=$I$8, INDEX('Precios Diarios'!$A$2:$A$495, $G$8 - 1 + 363 - 1), NA())</f>
        <v/>
      </c>
      <c r="Q364">
        <f>IF(363&lt;=$I$8, INDEX('Precios Diarios'!$E$2:$E$495, $G$8 - 1 + 363 - 1), NA())</f>
        <v/>
      </c>
      <c r="R364">
        <f>IF(363&lt;=$I$8, INDEX('Precios Diarios'!$F$2:$F$495, $G$8 - 1 + 363 - 1), NA())</f>
        <v/>
      </c>
    </row>
    <row r="365">
      <c r="P365" s="2">
        <f>IF(364&lt;=$I$8, INDEX('Precios Diarios'!$A$2:$A$495, $G$8 - 1 + 364 - 1), NA())</f>
        <v/>
      </c>
      <c r="Q365">
        <f>IF(364&lt;=$I$8, INDEX('Precios Diarios'!$E$2:$E$495, $G$8 - 1 + 364 - 1), NA())</f>
        <v/>
      </c>
      <c r="R365">
        <f>IF(364&lt;=$I$8, INDEX('Precios Diarios'!$F$2:$F$495, $G$8 - 1 + 364 - 1), NA())</f>
        <v/>
      </c>
    </row>
    <row r="366">
      <c r="P366" s="2">
        <f>IF(365&lt;=$I$8, INDEX('Precios Diarios'!$A$2:$A$495, $G$8 - 1 + 365 - 1), NA())</f>
        <v/>
      </c>
      <c r="Q366">
        <f>IF(365&lt;=$I$8, INDEX('Precios Diarios'!$E$2:$E$495, $G$8 - 1 + 365 - 1), NA())</f>
        <v/>
      </c>
      <c r="R366">
        <f>IF(365&lt;=$I$8, INDEX('Precios Diarios'!$F$2:$F$495, $G$8 - 1 + 365 - 1), NA())</f>
        <v/>
      </c>
    </row>
    <row r="367">
      <c r="P367" s="2">
        <f>IF(366&lt;=$I$8, INDEX('Precios Diarios'!$A$2:$A$495, $G$8 - 1 + 366 - 1), NA())</f>
        <v/>
      </c>
      <c r="Q367">
        <f>IF(366&lt;=$I$8, INDEX('Precios Diarios'!$E$2:$E$495, $G$8 - 1 + 366 - 1), NA())</f>
        <v/>
      </c>
      <c r="R367">
        <f>IF(366&lt;=$I$8, INDEX('Precios Diarios'!$F$2:$F$495, $G$8 - 1 + 366 - 1), NA())</f>
        <v/>
      </c>
    </row>
    <row r="368">
      <c r="P368" s="2">
        <f>IF(367&lt;=$I$8, INDEX('Precios Diarios'!$A$2:$A$495, $G$8 - 1 + 367 - 1), NA())</f>
        <v/>
      </c>
      <c r="Q368">
        <f>IF(367&lt;=$I$8, INDEX('Precios Diarios'!$E$2:$E$495, $G$8 - 1 + 367 - 1), NA())</f>
        <v/>
      </c>
      <c r="R368">
        <f>IF(367&lt;=$I$8, INDEX('Precios Diarios'!$F$2:$F$495, $G$8 - 1 + 367 - 1), NA())</f>
        <v/>
      </c>
    </row>
    <row r="369">
      <c r="P369" s="2">
        <f>IF(368&lt;=$I$8, INDEX('Precios Diarios'!$A$2:$A$495, $G$8 - 1 + 368 - 1), NA())</f>
        <v/>
      </c>
      <c r="Q369">
        <f>IF(368&lt;=$I$8, INDEX('Precios Diarios'!$E$2:$E$495, $G$8 - 1 + 368 - 1), NA())</f>
        <v/>
      </c>
      <c r="R369">
        <f>IF(368&lt;=$I$8, INDEX('Precios Diarios'!$F$2:$F$495, $G$8 - 1 + 368 - 1), NA())</f>
        <v/>
      </c>
    </row>
    <row r="370">
      <c r="P370" s="2">
        <f>IF(369&lt;=$I$8, INDEX('Precios Diarios'!$A$2:$A$495, $G$8 - 1 + 369 - 1), NA())</f>
        <v/>
      </c>
      <c r="Q370">
        <f>IF(369&lt;=$I$8, INDEX('Precios Diarios'!$E$2:$E$495, $G$8 - 1 + 369 - 1), NA())</f>
        <v/>
      </c>
      <c r="R370">
        <f>IF(369&lt;=$I$8, INDEX('Precios Diarios'!$F$2:$F$495, $G$8 - 1 + 369 - 1), NA())</f>
        <v/>
      </c>
    </row>
    <row r="371">
      <c r="P371" s="2">
        <f>IF(370&lt;=$I$8, INDEX('Precios Diarios'!$A$2:$A$495, $G$8 - 1 + 370 - 1), NA())</f>
        <v/>
      </c>
      <c r="Q371">
        <f>IF(370&lt;=$I$8, INDEX('Precios Diarios'!$E$2:$E$495, $G$8 - 1 + 370 - 1), NA())</f>
        <v/>
      </c>
      <c r="R371">
        <f>IF(370&lt;=$I$8, INDEX('Precios Diarios'!$F$2:$F$495, $G$8 - 1 + 370 - 1), NA())</f>
        <v/>
      </c>
    </row>
    <row r="372">
      <c r="P372" s="2">
        <f>IF(371&lt;=$I$8, INDEX('Precios Diarios'!$A$2:$A$495, $G$8 - 1 + 371 - 1), NA())</f>
        <v/>
      </c>
      <c r="Q372">
        <f>IF(371&lt;=$I$8, INDEX('Precios Diarios'!$E$2:$E$495, $G$8 - 1 + 371 - 1), NA())</f>
        <v/>
      </c>
      <c r="R372">
        <f>IF(371&lt;=$I$8, INDEX('Precios Diarios'!$F$2:$F$495, $G$8 - 1 + 371 - 1), NA())</f>
        <v/>
      </c>
    </row>
    <row r="373">
      <c r="P373" s="2">
        <f>IF(372&lt;=$I$8, INDEX('Precios Diarios'!$A$2:$A$495, $G$8 - 1 + 372 - 1), NA())</f>
        <v/>
      </c>
      <c r="Q373">
        <f>IF(372&lt;=$I$8, INDEX('Precios Diarios'!$E$2:$E$495, $G$8 - 1 + 372 - 1), NA())</f>
        <v/>
      </c>
      <c r="R373">
        <f>IF(372&lt;=$I$8, INDEX('Precios Diarios'!$F$2:$F$495, $G$8 - 1 + 372 - 1), NA())</f>
        <v/>
      </c>
    </row>
    <row r="374">
      <c r="P374" s="2">
        <f>IF(373&lt;=$I$8, INDEX('Precios Diarios'!$A$2:$A$495, $G$8 - 1 + 373 - 1), NA())</f>
        <v/>
      </c>
      <c r="Q374">
        <f>IF(373&lt;=$I$8, INDEX('Precios Diarios'!$E$2:$E$495, $G$8 - 1 + 373 - 1), NA())</f>
        <v/>
      </c>
      <c r="R374">
        <f>IF(373&lt;=$I$8, INDEX('Precios Diarios'!$F$2:$F$495, $G$8 - 1 + 373 - 1), NA())</f>
        <v/>
      </c>
    </row>
    <row r="375">
      <c r="P375" s="2">
        <f>IF(374&lt;=$I$8, INDEX('Precios Diarios'!$A$2:$A$495, $G$8 - 1 + 374 - 1), NA())</f>
        <v/>
      </c>
      <c r="Q375">
        <f>IF(374&lt;=$I$8, INDEX('Precios Diarios'!$E$2:$E$495, $G$8 - 1 + 374 - 1), NA())</f>
        <v/>
      </c>
      <c r="R375">
        <f>IF(374&lt;=$I$8, INDEX('Precios Diarios'!$F$2:$F$495, $G$8 - 1 + 374 - 1), NA())</f>
        <v/>
      </c>
    </row>
    <row r="376">
      <c r="P376" s="2">
        <f>IF(375&lt;=$I$8, INDEX('Precios Diarios'!$A$2:$A$495, $G$8 - 1 + 375 - 1), NA())</f>
        <v/>
      </c>
      <c r="Q376">
        <f>IF(375&lt;=$I$8, INDEX('Precios Diarios'!$E$2:$E$495, $G$8 - 1 + 375 - 1), NA())</f>
        <v/>
      </c>
      <c r="R376">
        <f>IF(375&lt;=$I$8, INDEX('Precios Diarios'!$F$2:$F$495, $G$8 - 1 + 375 - 1), NA())</f>
        <v/>
      </c>
    </row>
    <row r="377">
      <c r="P377" s="2">
        <f>IF(376&lt;=$I$8, INDEX('Precios Diarios'!$A$2:$A$495, $G$8 - 1 + 376 - 1), NA())</f>
        <v/>
      </c>
      <c r="Q377">
        <f>IF(376&lt;=$I$8, INDEX('Precios Diarios'!$E$2:$E$495, $G$8 - 1 + 376 - 1), NA())</f>
        <v/>
      </c>
      <c r="R377">
        <f>IF(376&lt;=$I$8, INDEX('Precios Diarios'!$F$2:$F$495, $G$8 - 1 + 376 - 1), NA())</f>
        <v/>
      </c>
    </row>
    <row r="378">
      <c r="P378" s="2">
        <f>IF(377&lt;=$I$8, INDEX('Precios Diarios'!$A$2:$A$495, $G$8 - 1 + 377 - 1), NA())</f>
        <v/>
      </c>
      <c r="Q378">
        <f>IF(377&lt;=$I$8, INDEX('Precios Diarios'!$E$2:$E$495, $G$8 - 1 + 377 - 1), NA())</f>
        <v/>
      </c>
      <c r="R378">
        <f>IF(377&lt;=$I$8, INDEX('Precios Diarios'!$F$2:$F$495, $G$8 - 1 + 377 - 1), NA())</f>
        <v/>
      </c>
    </row>
    <row r="379">
      <c r="P379" s="2">
        <f>IF(378&lt;=$I$8, INDEX('Precios Diarios'!$A$2:$A$495, $G$8 - 1 + 378 - 1), NA())</f>
        <v/>
      </c>
      <c r="Q379">
        <f>IF(378&lt;=$I$8, INDEX('Precios Diarios'!$E$2:$E$495, $G$8 - 1 + 378 - 1), NA())</f>
        <v/>
      </c>
      <c r="R379">
        <f>IF(378&lt;=$I$8, INDEX('Precios Diarios'!$F$2:$F$495, $G$8 - 1 + 378 - 1), NA())</f>
        <v/>
      </c>
    </row>
    <row r="380">
      <c r="P380" s="2">
        <f>IF(379&lt;=$I$8, INDEX('Precios Diarios'!$A$2:$A$495, $G$8 - 1 + 379 - 1), NA())</f>
        <v/>
      </c>
      <c r="Q380">
        <f>IF(379&lt;=$I$8, INDEX('Precios Diarios'!$E$2:$E$495, $G$8 - 1 + 379 - 1), NA())</f>
        <v/>
      </c>
      <c r="R380">
        <f>IF(379&lt;=$I$8, INDEX('Precios Diarios'!$F$2:$F$495, $G$8 - 1 + 379 - 1), NA())</f>
        <v/>
      </c>
    </row>
    <row r="381">
      <c r="P381" s="2">
        <f>IF(380&lt;=$I$8, INDEX('Precios Diarios'!$A$2:$A$495, $G$8 - 1 + 380 - 1), NA())</f>
        <v/>
      </c>
      <c r="Q381">
        <f>IF(380&lt;=$I$8, INDEX('Precios Diarios'!$E$2:$E$495, $G$8 - 1 + 380 - 1), NA())</f>
        <v/>
      </c>
      <c r="R381">
        <f>IF(380&lt;=$I$8, INDEX('Precios Diarios'!$F$2:$F$495, $G$8 - 1 + 380 - 1), NA())</f>
        <v/>
      </c>
    </row>
    <row r="382">
      <c r="P382" s="2">
        <f>IF(381&lt;=$I$8, INDEX('Precios Diarios'!$A$2:$A$495, $G$8 - 1 + 381 - 1), NA())</f>
        <v/>
      </c>
      <c r="Q382">
        <f>IF(381&lt;=$I$8, INDEX('Precios Diarios'!$E$2:$E$495, $G$8 - 1 + 381 - 1), NA())</f>
        <v/>
      </c>
      <c r="R382">
        <f>IF(381&lt;=$I$8, INDEX('Precios Diarios'!$F$2:$F$495, $G$8 - 1 + 381 - 1), NA())</f>
        <v/>
      </c>
    </row>
    <row r="383">
      <c r="P383" s="2">
        <f>IF(382&lt;=$I$8, INDEX('Precios Diarios'!$A$2:$A$495, $G$8 - 1 + 382 - 1), NA())</f>
        <v/>
      </c>
      <c r="Q383">
        <f>IF(382&lt;=$I$8, INDEX('Precios Diarios'!$E$2:$E$495, $G$8 - 1 + 382 - 1), NA())</f>
        <v/>
      </c>
      <c r="R383">
        <f>IF(382&lt;=$I$8, INDEX('Precios Diarios'!$F$2:$F$495, $G$8 - 1 + 382 - 1), NA())</f>
        <v/>
      </c>
    </row>
    <row r="384">
      <c r="P384" s="2">
        <f>IF(383&lt;=$I$8, INDEX('Precios Diarios'!$A$2:$A$495, $G$8 - 1 + 383 - 1), NA())</f>
        <v/>
      </c>
      <c r="Q384">
        <f>IF(383&lt;=$I$8, INDEX('Precios Diarios'!$E$2:$E$495, $G$8 - 1 + 383 - 1), NA())</f>
        <v/>
      </c>
      <c r="R384">
        <f>IF(383&lt;=$I$8, INDEX('Precios Diarios'!$F$2:$F$495, $G$8 - 1 + 383 - 1), NA())</f>
        <v/>
      </c>
    </row>
    <row r="385">
      <c r="P385" s="2">
        <f>IF(384&lt;=$I$8, INDEX('Precios Diarios'!$A$2:$A$495, $G$8 - 1 + 384 - 1), NA())</f>
        <v/>
      </c>
      <c r="Q385">
        <f>IF(384&lt;=$I$8, INDEX('Precios Diarios'!$E$2:$E$495, $G$8 - 1 + 384 - 1), NA())</f>
        <v/>
      </c>
      <c r="R385">
        <f>IF(384&lt;=$I$8, INDEX('Precios Diarios'!$F$2:$F$495, $G$8 - 1 + 384 - 1), NA())</f>
        <v/>
      </c>
    </row>
    <row r="386">
      <c r="P386" s="2">
        <f>IF(385&lt;=$I$8, INDEX('Precios Diarios'!$A$2:$A$495, $G$8 - 1 + 385 - 1), NA())</f>
        <v/>
      </c>
      <c r="Q386">
        <f>IF(385&lt;=$I$8, INDEX('Precios Diarios'!$E$2:$E$495, $G$8 - 1 + 385 - 1), NA())</f>
        <v/>
      </c>
      <c r="R386">
        <f>IF(385&lt;=$I$8, INDEX('Precios Diarios'!$F$2:$F$495, $G$8 - 1 + 385 - 1), NA())</f>
        <v/>
      </c>
    </row>
    <row r="387">
      <c r="P387" s="2">
        <f>IF(386&lt;=$I$8, INDEX('Precios Diarios'!$A$2:$A$495, $G$8 - 1 + 386 - 1), NA())</f>
        <v/>
      </c>
      <c r="Q387">
        <f>IF(386&lt;=$I$8, INDEX('Precios Diarios'!$E$2:$E$495, $G$8 - 1 + 386 - 1), NA())</f>
        <v/>
      </c>
      <c r="R387">
        <f>IF(386&lt;=$I$8, INDEX('Precios Diarios'!$F$2:$F$495, $G$8 - 1 + 386 - 1), NA())</f>
        <v/>
      </c>
    </row>
    <row r="388">
      <c r="P388" s="2">
        <f>IF(387&lt;=$I$8, INDEX('Precios Diarios'!$A$2:$A$495, $G$8 - 1 + 387 - 1), NA())</f>
        <v/>
      </c>
      <c r="Q388">
        <f>IF(387&lt;=$I$8, INDEX('Precios Diarios'!$E$2:$E$495, $G$8 - 1 + 387 - 1), NA())</f>
        <v/>
      </c>
      <c r="R388">
        <f>IF(387&lt;=$I$8, INDEX('Precios Diarios'!$F$2:$F$495, $G$8 - 1 + 387 - 1), NA())</f>
        <v/>
      </c>
    </row>
    <row r="389">
      <c r="P389" s="2">
        <f>IF(388&lt;=$I$8, INDEX('Precios Diarios'!$A$2:$A$495, $G$8 - 1 + 388 - 1), NA())</f>
        <v/>
      </c>
      <c r="Q389">
        <f>IF(388&lt;=$I$8, INDEX('Precios Diarios'!$E$2:$E$495, $G$8 - 1 + 388 - 1), NA())</f>
        <v/>
      </c>
      <c r="R389">
        <f>IF(388&lt;=$I$8, INDEX('Precios Diarios'!$F$2:$F$495, $G$8 - 1 + 388 - 1), NA())</f>
        <v/>
      </c>
    </row>
    <row r="390">
      <c r="P390" s="2">
        <f>IF(389&lt;=$I$8, INDEX('Precios Diarios'!$A$2:$A$495, $G$8 - 1 + 389 - 1), NA())</f>
        <v/>
      </c>
      <c r="Q390">
        <f>IF(389&lt;=$I$8, INDEX('Precios Diarios'!$E$2:$E$495, $G$8 - 1 + 389 - 1), NA())</f>
        <v/>
      </c>
      <c r="R390">
        <f>IF(389&lt;=$I$8, INDEX('Precios Diarios'!$F$2:$F$495, $G$8 - 1 + 389 - 1), NA())</f>
        <v/>
      </c>
    </row>
    <row r="391">
      <c r="P391" s="2">
        <f>IF(390&lt;=$I$8, INDEX('Precios Diarios'!$A$2:$A$495, $G$8 - 1 + 390 - 1), NA())</f>
        <v/>
      </c>
      <c r="Q391">
        <f>IF(390&lt;=$I$8, INDEX('Precios Diarios'!$E$2:$E$495, $G$8 - 1 + 390 - 1), NA())</f>
        <v/>
      </c>
      <c r="R391">
        <f>IF(390&lt;=$I$8, INDEX('Precios Diarios'!$F$2:$F$495, $G$8 - 1 + 390 - 1), NA())</f>
        <v/>
      </c>
    </row>
    <row r="392">
      <c r="P392" s="2">
        <f>IF(391&lt;=$I$8, INDEX('Precios Diarios'!$A$2:$A$495, $G$8 - 1 + 391 - 1), NA())</f>
        <v/>
      </c>
      <c r="Q392">
        <f>IF(391&lt;=$I$8, INDEX('Precios Diarios'!$E$2:$E$495, $G$8 - 1 + 391 - 1), NA())</f>
        <v/>
      </c>
      <c r="R392">
        <f>IF(391&lt;=$I$8, INDEX('Precios Diarios'!$F$2:$F$495, $G$8 - 1 + 391 - 1), NA())</f>
        <v/>
      </c>
    </row>
    <row r="393">
      <c r="P393" s="2">
        <f>IF(392&lt;=$I$8, INDEX('Precios Diarios'!$A$2:$A$495, $G$8 - 1 + 392 - 1), NA())</f>
        <v/>
      </c>
      <c r="Q393">
        <f>IF(392&lt;=$I$8, INDEX('Precios Diarios'!$E$2:$E$495, $G$8 - 1 + 392 - 1), NA())</f>
        <v/>
      </c>
      <c r="R393">
        <f>IF(392&lt;=$I$8, INDEX('Precios Diarios'!$F$2:$F$495, $G$8 - 1 + 392 - 1), NA())</f>
        <v/>
      </c>
    </row>
    <row r="394">
      <c r="P394" s="2">
        <f>IF(393&lt;=$I$8, INDEX('Precios Diarios'!$A$2:$A$495, $G$8 - 1 + 393 - 1), NA())</f>
        <v/>
      </c>
      <c r="Q394">
        <f>IF(393&lt;=$I$8, INDEX('Precios Diarios'!$E$2:$E$495, $G$8 - 1 + 393 - 1), NA())</f>
        <v/>
      </c>
      <c r="R394">
        <f>IF(393&lt;=$I$8, INDEX('Precios Diarios'!$F$2:$F$495, $G$8 - 1 + 393 - 1), NA())</f>
        <v/>
      </c>
    </row>
    <row r="395">
      <c r="P395" s="2">
        <f>IF(394&lt;=$I$8, INDEX('Precios Diarios'!$A$2:$A$495, $G$8 - 1 + 394 - 1), NA())</f>
        <v/>
      </c>
      <c r="Q395">
        <f>IF(394&lt;=$I$8, INDEX('Precios Diarios'!$E$2:$E$495, $G$8 - 1 + 394 - 1), NA())</f>
        <v/>
      </c>
      <c r="R395">
        <f>IF(394&lt;=$I$8, INDEX('Precios Diarios'!$F$2:$F$495, $G$8 - 1 + 394 - 1), NA())</f>
        <v/>
      </c>
    </row>
    <row r="396">
      <c r="P396" s="2">
        <f>IF(395&lt;=$I$8, INDEX('Precios Diarios'!$A$2:$A$495, $G$8 - 1 + 395 - 1), NA())</f>
        <v/>
      </c>
      <c r="Q396">
        <f>IF(395&lt;=$I$8, INDEX('Precios Diarios'!$E$2:$E$495, $G$8 - 1 + 395 - 1), NA())</f>
        <v/>
      </c>
      <c r="R396">
        <f>IF(395&lt;=$I$8, INDEX('Precios Diarios'!$F$2:$F$495, $G$8 - 1 + 395 - 1), NA())</f>
        <v/>
      </c>
    </row>
    <row r="397">
      <c r="P397" s="2">
        <f>IF(396&lt;=$I$8, INDEX('Precios Diarios'!$A$2:$A$495, $G$8 - 1 + 396 - 1), NA())</f>
        <v/>
      </c>
      <c r="Q397">
        <f>IF(396&lt;=$I$8, INDEX('Precios Diarios'!$E$2:$E$495, $G$8 - 1 + 396 - 1), NA())</f>
        <v/>
      </c>
      <c r="R397">
        <f>IF(396&lt;=$I$8, INDEX('Precios Diarios'!$F$2:$F$495, $G$8 - 1 + 396 - 1), NA())</f>
        <v/>
      </c>
    </row>
    <row r="398">
      <c r="P398" s="2">
        <f>IF(397&lt;=$I$8, INDEX('Precios Diarios'!$A$2:$A$495, $G$8 - 1 + 397 - 1), NA())</f>
        <v/>
      </c>
      <c r="Q398">
        <f>IF(397&lt;=$I$8, INDEX('Precios Diarios'!$E$2:$E$495, $G$8 - 1 + 397 - 1), NA())</f>
        <v/>
      </c>
      <c r="R398">
        <f>IF(397&lt;=$I$8, INDEX('Precios Diarios'!$F$2:$F$495, $G$8 - 1 + 397 - 1), NA())</f>
        <v/>
      </c>
    </row>
    <row r="399">
      <c r="P399" s="2">
        <f>IF(398&lt;=$I$8, INDEX('Precios Diarios'!$A$2:$A$495, $G$8 - 1 + 398 - 1), NA())</f>
        <v/>
      </c>
      <c r="Q399">
        <f>IF(398&lt;=$I$8, INDEX('Precios Diarios'!$E$2:$E$495, $G$8 - 1 + 398 - 1), NA())</f>
        <v/>
      </c>
      <c r="R399">
        <f>IF(398&lt;=$I$8, INDEX('Precios Diarios'!$F$2:$F$495, $G$8 - 1 + 398 - 1), NA())</f>
        <v/>
      </c>
    </row>
    <row r="400">
      <c r="P400" s="2">
        <f>IF(399&lt;=$I$8, INDEX('Precios Diarios'!$A$2:$A$495, $G$8 - 1 + 399 - 1), NA())</f>
        <v/>
      </c>
      <c r="Q400">
        <f>IF(399&lt;=$I$8, INDEX('Precios Diarios'!$E$2:$E$495, $G$8 - 1 + 399 - 1), NA())</f>
        <v/>
      </c>
      <c r="R400">
        <f>IF(399&lt;=$I$8, INDEX('Precios Diarios'!$F$2:$F$495, $G$8 - 1 + 399 - 1), NA())</f>
        <v/>
      </c>
    </row>
    <row r="401">
      <c r="P401" s="2">
        <f>IF(400&lt;=$I$8, INDEX('Precios Diarios'!$A$2:$A$495, $G$8 - 1 + 400 - 1), NA())</f>
        <v/>
      </c>
      <c r="Q401">
        <f>IF(400&lt;=$I$8, INDEX('Precios Diarios'!$E$2:$E$495, $G$8 - 1 + 400 - 1), NA())</f>
        <v/>
      </c>
      <c r="R401">
        <f>IF(400&lt;=$I$8, INDEX('Precios Diarios'!$F$2:$F$495, $G$8 - 1 + 400 - 1), NA())</f>
        <v/>
      </c>
    </row>
    <row r="402">
      <c r="P402" s="2">
        <f>IF(401&lt;=$I$8, INDEX('Precios Diarios'!$A$2:$A$495, $G$8 - 1 + 401 - 1), NA())</f>
        <v/>
      </c>
      <c r="Q402">
        <f>IF(401&lt;=$I$8, INDEX('Precios Diarios'!$E$2:$E$495, $G$8 - 1 + 401 - 1), NA())</f>
        <v/>
      </c>
      <c r="R402">
        <f>IF(401&lt;=$I$8, INDEX('Precios Diarios'!$F$2:$F$495, $G$8 - 1 + 401 - 1), NA())</f>
        <v/>
      </c>
    </row>
    <row r="403">
      <c r="P403" s="2">
        <f>IF(402&lt;=$I$8, INDEX('Precios Diarios'!$A$2:$A$495, $G$8 - 1 + 402 - 1), NA())</f>
        <v/>
      </c>
      <c r="Q403">
        <f>IF(402&lt;=$I$8, INDEX('Precios Diarios'!$E$2:$E$495, $G$8 - 1 + 402 - 1), NA())</f>
        <v/>
      </c>
      <c r="R403">
        <f>IF(402&lt;=$I$8, INDEX('Precios Diarios'!$F$2:$F$495, $G$8 - 1 + 402 - 1), NA())</f>
        <v/>
      </c>
    </row>
    <row r="404">
      <c r="P404" s="2">
        <f>IF(403&lt;=$I$8, INDEX('Precios Diarios'!$A$2:$A$495, $G$8 - 1 + 403 - 1), NA())</f>
        <v/>
      </c>
      <c r="Q404">
        <f>IF(403&lt;=$I$8, INDEX('Precios Diarios'!$E$2:$E$495, $G$8 - 1 + 403 - 1), NA())</f>
        <v/>
      </c>
      <c r="R404">
        <f>IF(403&lt;=$I$8, INDEX('Precios Diarios'!$F$2:$F$495, $G$8 - 1 + 403 - 1), NA())</f>
        <v/>
      </c>
    </row>
    <row r="405">
      <c r="P405" s="2">
        <f>IF(404&lt;=$I$8, INDEX('Precios Diarios'!$A$2:$A$495, $G$8 - 1 + 404 - 1), NA())</f>
        <v/>
      </c>
      <c r="Q405">
        <f>IF(404&lt;=$I$8, INDEX('Precios Diarios'!$E$2:$E$495, $G$8 - 1 + 404 - 1), NA())</f>
        <v/>
      </c>
      <c r="R405">
        <f>IF(404&lt;=$I$8, INDEX('Precios Diarios'!$F$2:$F$495, $G$8 - 1 + 404 - 1), NA())</f>
        <v/>
      </c>
    </row>
    <row r="406">
      <c r="P406" s="2">
        <f>IF(405&lt;=$I$8, INDEX('Precios Diarios'!$A$2:$A$495, $G$8 - 1 + 405 - 1), NA())</f>
        <v/>
      </c>
      <c r="Q406">
        <f>IF(405&lt;=$I$8, INDEX('Precios Diarios'!$E$2:$E$495, $G$8 - 1 + 405 - 1), NA())</f>
        <v/>
      </c>
      <c r="R406">
        <f>IF(405&lt;=$I$8, INDEX('Precios Diarios'!$F$2:$F$495, $G$8 - 1 + 405 - 1), NA())</f>
        <v/>
      </c>
    </row>
    <row r="407">
      <c r="P407" s="2">
        <f>IF(406&lt;=$I$8, INDEX('Precios Diarios'!$A$2:$A$495, $G$8 - 1 + 406 - 1), NA())</f>
        <v/>
      </c>
      <c r="Q407">
        <f>IF(406&lt;=$I$8, INDEX('Precios Diarios'!$E$2:$E$495, $G$8 - 1 + 406 - 1), NA())</f>
        <v/>
      </c>
      <c r="R407">
        <f>IF(406&lt;=$I$8, INDEX('Precios Diarios'!$F$2:$F$495, $G$8 - 1 + 406 - 1), NA())</f>
        <v/>
      </c>
    </row>
    <row r="408">
      <c r="P408" s="2">
        <f>IF(407&lt;=$I$8, INDEX('Precios Diarios'!$A$2:$A$495, $G$8 - 1 + 407 - 1), NA())</f>
        <v/>
      </c>
      <c r="Q408">
        <f>IF(407&lt;=$I$8, INDEX('Precios Diarios'!$E$2:$E$495, $G$8 - 1 + 407 - 1), NA())</f>
        <v/>
      </c>
      <c r="R408">
        <f>IF(407&lt;=$I$8, INDEX('Precios Diarios'!$F$2:$F$495, $G$8 - 1 + 407 - 1), NA())</f>
        <v/>
      </c>
    </row>
    <row r="409">
      <c r="P409" s="2">
        <f>IF(408&lt;=$I$8, INDEX('Precios Diarios'!$A$2:$A$495, $G$8 - 1 + 408 - 1), NA())</f>
        <v/>
      </c>
      <c r="Q409">
        <f>IF(408&lt;=$I$8, INDEX('Precios Diarios'!$E$2:$E$495, $G$8 - 1 + 408 - 1), NA())</f>
        <v/>
      </c>
      <c r="R409">
        <f>IF(408&lt;=$I$8, INDEX('Precios Diarios'!$F$2:$F$495, $G$8 - 1 + 408 - 1), NA())</f>
        <v/>
      </c>
    </row>
    <row r="410">
      <c r="P410" s="2">
        <f>IF(409&lt;=$I$8, INDEX('Precios Diarios'!$A$2:$A$495, $G$8 - 1 + 409 - 1), NA())</f>
        <v/>
      </c>
      <c r="Q410">
        <f>IF(409&lt;=$I$8, INDEX('Precios Diarios'!$E$2:$E$495, $G$8 - 1 + 409 - 1), NA())</f>
        <v/>
      </c>
      <c r="R410">
        <f>IF(409&lt;=$I$8, INDEX('Precios Diarios'!$F$2:$F$495, $G$8 - 1 + 409 - 1), NA())</f>
        <v/>
      </c>
    </row>
    <row r="411">
      <c r="P411" s="2">
        <f>IF(410&lt;=$I$8, INDEX('Precios Diarios'!$A$2:$A$495, $G$8 - 1 + 410 - 1), NA())</f>
        <v/>
      </c>
      <c r="Q411">
        <f>IF(410&lt;=$I$8, INDEX('Precios Diarios'!$E$2:$E$495, $G$8 - 1 + 410 - 1), NA())</f>
        <v/>
      </c>
      <c r="R411">
        <f>IF(410&lt;=$I$8, INDEX('Precios Diarios'!$F$2:$F$495, $G$8 - 1 + 410 - 1), NA())</f>
        <v/>
      </c>
    </row>
    <row r="412">
      <c r="P412" s="2">
        <f>IF(411&lt;=$I$8, INDEX('Precios Diarios'!$A$2:$A$495, $G$8 - 1 + 411 - 1), NA())</f>
        <v/>
      </c>
      <c r="Q412">
        <f>IF(411&lt;=$I$8, INDEX('Precios Diarios'!$E$2:$E$495, $G$8 - 1 + 411 - 1), NA())</f>
        <v/>
      </c>
      <c r="R412">
        <f>IF(411&lt;=$I$8, INDEX('Precios Diarios'!$F$2:$F$495, $G$8 - 1 + 411 - 1), NA())</f>
        <v/>
      </c>
    </row>
    <row r="413">
      <c r="P413" s="2">
        <f>IF(412&lt;=$I$8, INDEX('Precios Diarios'!$A$2:$A$495, $G$8 - 1 + 412 - 1), NA())</f>
        <v/>
      </c>
      <c r="Q413">
        <f>IF(412&lt;=$I$8, INDEX('Precios Diarios'!$E$2:$E$495, $G$8 - 1 + 412 - 1), NA())</f>
        <v/>
      </c>
      <c r="R413">
        <f>IF(412&lt;=$I$8, INDEX('Precios Diarios'!$F$2:$F$495, $G$8 - 1 + 412 - 1), NA())</f>
        <v/>
      </c>
    </row>
    <row r="414">
      <c r="P414" s="2">
        <f>IF(413&lt;=$I$8, INDEX('Precios Diarios'!$A$2:$A$495, $G$8 - 1 + 413 - 1), NA())</f>
        <v/>
      </c>
      <c r="Q414">
        <f>IF(413&lt;=$I$8, INDEX('Precios Diarios'!$E$2:$E$495, $G$8 - 1 + 413 - 1), NA())</f>
        <v/>
      </c>
      <c r="R414">
        <f>IF(413&lt;=$I$8, INDEX('Precios Diarios'!$F$2:$F$495, $G$8 - 1 + 413 - 1), NA())</f>
        <v/>
      </c>
    </row>
    <row r="415">
      <c r="P415" s="2">
        <f>IF(414&lt;=$I$8, INDEX('Precios Diarios'!$A$2:$A$495, $G$8 - 1 + 414 - 1), NA())</f>
        <v/>
      </c>
      <c r="Q415">
        <f>IF(414&lt;=$I$8, INDEX('Precios Diarios'!$E$2:$E$495, $G$8 - 1 + 414 - 1), NA())</f>
        <v/>
      </c>
      <c r="R415">
        <f>IF(414&lt;=$I$8, INDEX('Precios Diarios'!$F$2:$F$495, $G$8 - 1 + 414 - 1), NA())</f>
        <v/>
      </c>
    </row>
    <row r="416">
      <c r="P416" s="2">
        <f>IF(415&lt;=$I$8, INDEX('Precios Diarios'!$A$2:$A$495, $G$8 - 1 + 415 - 1), NA())</f>
        <v/>
      </c>
      <c r="Q416">
        <f>IF(415&lt;=$I$8, INDEX('Precios Diarios'!$E$2:$E$495, $G$8 - 1 + 415 - 1), NA())</f>
        <v/>
      </c>
      <c r="R416">
        <f>IF(415&lt;=$I$8, INDEX('Precios Diarios'!$F$2:$F$495, $G$8 - 1 + 415 - 1), NA())</f>
        <v/>
      </c>
    </row>
    <row r="417">
      <c r="P417" s="2">
        <f>IF(416&lt;=$I$8, INDEX('Precios Diarios'!$A$2:$A$495, $G$8 - 1 + 416 - 1), NA())</f>
        <v/>
      </c>
      <c r="Q417">
        <f>IF(416&lt;=$I$8, INDEX('Precios Diarios'!$E$2:$E$495, $G$8 - 1 + 416 - 1), NA())</f>
        <v/>
      </c>
      <c r="R417">
        <f>IF(416&lt;=$I$8, INDEX('Precios Diarios'!$F$2:$F$495, $G$8 - 1 + 416 - 1), NA())</f>
        <v/>
      </c>
    </row>
    <row r="418">
      <c r="P418" s="2">
        <f>IF(417&lt;=$I$8, INDEX('Precios Diarios'!$A$2:$A$495, $G$8 - 1 + 417 - 1), NA())</f>
        <v/>
      </c>
      <c r="Q418">
        <f>IF(417&lt;=$I$8, INDEX('Precios Diarios'!$E$2:$E$495, $G$8 - 1 + 417 - 1), NA())</f>
        <v/>
      </c>
      <c r="R418">
        <f>IF(417&lt;=$I$8, INDEX('Precios Diarios'!$F$2:$F$495, $G$8 - 1 + 417 - 1), NA())</f>
        <v/>
      </c>
    </row>
    <row r="419">
      <c r="P419" s="2">
        <f>IF(418&lt;=$I$8, INDEX('Precios Diarios'!$A$2:$A$495, $G$8 - 1 + 418 - 1), NA())</f>
        <v/>
      </c>
      <c r="Q419">
        <f>IF(418&lt;=$I$8, INDEX('Precios Diarios'!$E$2:$E$495, $G$8 - 1 + 418 - 1), NA())</f>
        <v/>
      </c>
      <c r="R419">
        <f>IF(418&lt;=$I$8, INDEX('Precios Diarios'!$F$2:$F$495, $G$8 - 1 + 418 - 1), NA())</f>
        <v/>
      </c>
    </row>
    <row r="420">
      <c r="P420" s="2">
        <f>IF(419&lt;=$I$8, INDEX('Precios Diarios'!$A$2:$A$495, $G$8 - 1 + 419 - 1), NA())</f>
        <v/>
      </c>
      <c r="Q420">
        <f>IF(419&lt;=$I$8, INDEX('Precios Diarios'!$E$2:$E$495, $G$8 - 1 + 419 - 1), NA())</f>
        <v/>
      </c>
      <c r="R420">
        <f>IF(419&lt;=$I$8, INDEX('Precios Diarios'!$F$2:$F$495, $G$8 - 1 + 419 - 1), NA())</f>
        <v/>
      </c>
    </row>
    <row r="421">
      <c r="P421" s="2">
        <f>IF(420&lt;=$I$8, INDEX('Precios Diarios'!$A$2:$A$495, $G$8 - 1 + 420 - 1), NA())</f>
        <v/>
      </c>
      <c r="Q421">
        <f>IF(420&lt;=$I$8, INDEX('Precios Diarios'!$E$2:$E$495, $G$8 - 1 + 420 - 1), NA())</f>
        <v/>
      </c>
      <c r="R421">
        <f>IF(420&lt;=$I$8, INDEX('Precios Diarios'!$F$2:$F$495, $G$8 - 1 + 420 - 1), NA())</f>
        <v/>
      </c>
    </row>
    <row r="422">
      <c r="P422" s="2">
        <f>IF(421&lt;=$I$8, INDEX('Precios Diarios'!$A$2:$A$495, $G$8 - 1 + 421 - 1), NA())</f>
        <v/>
      </c>
      <c r="Q422">
        <f>IF(421&lt;=$I$8, INDEX('Precios Diarios'!$E$2:$E$495, $G$8 - 1 + 421 - 1), NA())</f>
        <v/>
      </c>
      <c r="R422">
        <f>IF(421&lt;=$I$8, INDEX('Precios Diarios'!$F$2:$F$495, $G$8 - 1 + 421 - 1), NA())</f>
        <v/>
      </c>
    </row>
    <row r="423">
      <c r="P423" s="2">
        <f>IF(422&lt;=$I$8, INDEX('Precios Diarios'!$A$2:$A$495, $G$8 - 1 + 422 - 1), NA())</f>
        <v/>
      </c>
      <c r="Q423">
        <f>IF(422&lt;=$I$8, INDEX('Precios Diarios'!$E$2:$E$495, $G$8 - 1 + 422 - 1), NA())</f>
        <v/>
      </c>
      <c r="R423">
        <f>IF(422&lt;=$I$8, INDEX('Precios Diarios'!$F$2:$F$495, $G$8 - 1 + 422 - 1), NA())</f>
        <v/>
      </c>
    </row>
    <row r="424">
      <c r="P424" s="2">
        <f>IF(423&lt;=$I$8, INDEX('Precios Diarios'!$A$2:$A$495, $G$8 - 1 + 423 - 1), NA())</f>
        <v/>
      </c>
      <c r="Q424">
        <f>IF(423&lt;=$I$8, INDEX('Precios Diarios'!$E$2:$E$495, $G$8 - 1 + 423 - 1), NA())</f>
        <v/>
      </c>
      <c r="R424">
        <f>IF(423&lt;=$I$8, INDEX('Precios Diarios'!$F$2:$F$495, $G$8 - 1 + 423 - 1), NA())</f>
        <v/>
      </c>
    </row>
    <row r="425">
      <c r="P425" s="2">
        <f>IF(424&lt;=$I$8, INDEX('Precios Diarios'!$A$2:$A$495, $G$8 - 1 + 424 - 1), NA())</f>
        <v/>
      </c>
      <c r="Q425">
        <f>IF(424&lt;=$I$8, INDEX('Precios Diarios'!$E$2:$E$495, $G$8 - 1 + 424 - 1), NA())</f>
        <v/>
      </c>
      <c r="R425">
        <f>IF(424&lt;=$I$8, INDEX('Precios Diarios'!$F$2:$F$495, $G$8 - 1 + 424 - 1), NA())</f>
        <v/>
      </c>
    </row>
    <row r="426">
      <c r="P426" s="2">
        <f>IF(425&lt;=$I$8, INDEX('Precios Diarios'!$A$2:$A$495, $G$8 - 1 + 425 - 1), NA())</f>
        <v/>
      </c>
      <c r="Q426">
        <f>IF(425&lt;=$I$8, INDEX('Precios Diarios'!$E$2:$E$495, $G$8 - 1 + 425 - 1), NA())</f>
        <v/>
      </c>
      <c r="R426">
        <f>IF(425&lt;=$I$8, INDEX('Precios Diarios'!$F$2:$F$495, $G$8 - 1 + 425 - 1), NA())</f>
        <v/>
      </c>
    </row>
    <row r="427">
      <c r="P427" s="2">
        <f>IF(426&lt;=$I$8, INDEX('Precios Diarios'!$A$2:$A$495, $G$8 - 1 + 426 - 1), NA())</f>
        <v/>
      </c>
      <c r="Q427">
        <f>IF(426&lt;=$I$8, INDEX('Precios Diarios'!$E$2:$E$495, $G$8 - 1 + 426 - 1), NA())</f>
        <v/>
      </c>
      <c r="R427">
        <f>IF(426&lt;=$I$8, INDEX('Precios Diarios'!$F$2:$F$495, $G$8 - 1 + 426 - 1), NA())</f>
        <v/>
      </c>
    </row>
    <row r="428">
      <c r="P428" s="2">
        <f>IF(427&lt;=$I$8, INDEX('Precios Diarios'!$A$2:$A$495, $G$8 - 1 + 427 - 1), NA())</f>
        <v/>
      </c>
      <c r="Q428">
        <f>IF(427&lt;=$I$8, INDEX('Precios Diarios'!$E$2:$E$495, $G$8 - 1 + 427 - 1), NA())</f>
        <v/>
      </c>
      <c r="R428">
        <f>IF(427&lt;=$I$8, INDEX('Precios Diarios'!$F$2:$F$495, $G$8 - 1 + 427 - 1), NA())</f>
        <v/>
      </c>
    </row>
    <row r="429">
      <c r="P429" s="2">
        <f>IF(428&lt;=$I$8, INDEX('Precios Diarios'!$A$2:$A$495, $G$8 - 1 + 428 - 1), NA())</f>
        <v/>
      </c>
      <c r="Q429">
        <f>IF(428&lt;=$I$8, INDEX('Precios Diarios'!$E$2:$E$495, $G$8 - 1 + 428 - 1), NA())</f>
        <v/>
      </c>
      <c r="R429">
        <f>IF(428&lt;=$I$8, INDEX('Precios Diarios'!$F$2:$F$495, $G$8 - 1 + 428 - 1), NA())</f>
        <v/>
      </c>
    </row>
    <row r="430">
      <c r="P430" s="2">
        <f>IF(429&lt;=$I$8, INDEX('Precios Diarios'!$A$2:$A$495, $G$8 - 1 + 429 - 1), NA())</f>
        <v/>
      </c>
      <c r="Q430">
        <f>IF(429&lt;=$I$8, INDEX('Precios Diarios'!$E$2:$E$495, $G$8 - 1 + 429 - 1), NA())</f>
        <v/>
      </c>
      <c r="R430">
        <f>IF(429&lt;=$I$8, INDEX('Precios Diarios'!$F$2:$F$495, $G$8 - 1 + 429 - 1), NA())</f>
        <v/>
      </c>
    </row>
    <row r="431">
      <c r="P431" s="2">
        <f>IF(430&lt;=$I$8, INDEX('Precios Diarios'!$A$2:$A$495, $G$8 - 1 + 430 - 1), NA())</f>
        <v/>
      </c>
      <c r="Q431">
        <f>IF(430&lt;=$I$8, INDEX('Precios Diarios'!$E$2:$E$495, $G$8 - 1 + 430 - 1), NA())</f>
        <v/>
      </c>
      <c r="R431">
        <f>IF(430&lt;=$I$8, INDEX('Precios Diarios'!$F$2:$F$495, $G$8 - 1 + 430 - 1), NA())</f>
        <v/>
      </c>
    </row>
    <row r="432">
      <c r="P432" s="2">
        <f>IF(431&lt;=$I$8, INDEX('Precios Diarios'!$A$2:$A$495, $G$8 - 1 + 431 - 1), NA())</f>
        <v/>
      </c>
      <c r="Q432">
        <f>IF(431&lt;=$I$8, INDEX('Precios Diarios'!$E$2:$E$495, $G$8 - 1 + 431 - 1), NA())</f>
        <v/>
      </c>
      <c r="R432">
        <f>IF(431&lt;=$I$8, INDEX('Precios Diarios'!$F$2:$F$495, $G$8 - 1 + 431 - 1), NA())</f>
        <v/>
      </c>
    </row>
    <row r="433">
      <c r="P433" s="2">
        <f>IF(432&lt;=$I$8, INDEX('Precios Diarios'!$A$2:$A$495, $G$8 - 1 + 432 - 1), NA())</f>
        <v/>
      </c>
      <c r="Q433">
        <f>IF(432&lt;=$I$8, INDEX('Precios Diarios'!$E$2:$E$495, $G$8 - 1 + 432 - 1), NA())</f>
        <v/>
      </c>
      <c r="R433">
        <f>IF(432&lt;=$I$8, INDEX('Precios Diarios'!$F$2:$F$495, $G$8 - 1 + 432 - 1), NA())</f>
        <v/>
      </c>
    </row>
    <row r="434">
      <c r="P434" s="2">
        <f>IF(433&lt;=$I$8, INDEX('Precios Diarios'!$A$2:$A$495, $G$8 - 1 + 433 - 1), NA())</f>
        <v/>
      </c>
      <c r="Q434">
        <f>IF(433&lt;=$I$8, INDEX('Precios Diarios'!$E$2:$E$495, $G$8 - 1 + 433 - 1), NA())</f>
        <v/>
      </c>
      <c r="R434">
        <f>IF(433&lt;=$I$8, INDEX('Precios Diarios'!$F$2:$F$495, $G$8 - 1 + 433 - 1), NA())</f>
        <v/>
      </c>
    </row>
    <row r="435">
      <c r="P435" s="2">
        <f>IF(434&lt;=$I$8, INDEX('Precios Diarios'!$A$2:$A$495, $G$8 - 1 + 434 - 1), NA())</f>
        <v/>
      </c>
      <c r="Q435">
        <f>IF(434&lt;=$I$8, INDEX('Precios Diarios'!$E$2:$E$495, $G$8 - 1 + 434 - 1), NA())</f>
        <v/>
      </c>
      <c r="R435">
        <f>IF(434&lt;=$I$8, INDEX('Precios Diarios'!$F$2:$F$495, $G$8 - 1 + 434 - 1), NA())</f>
        <v/>
      </c>
    </row>
    <row r="436">
      <c r="P436" s="2">
        <f>IF(435&lt;=$I$8, INDEX('Precios Diarios'!$A$2:$A$495, $G$8 - 1 + 435 - 1), NA())</f>
        <v/>
      </c>
      <c r="Q436">
        <f>IF(435&lt;=$I$8, INDEX('Precios Diarios'!$E$2:$E$495, $G$8 - 1 + 435 - 1), NA())</f>
        <v/>
      </c>
      <c r="R436">
        <f>IF(435&lt;=$I$8, INDEX('Precios Diarios'!$F$2:$F$495, $G$8 - 1 + 435 - 1), NA())</f>
        <v/>
      </c>
    </row>
    <row r="437">
      <c r="P437" s="2">
        <f>IF(436&lt;=$I$8, INDEX('Precios Diarios'!$A$2:$A$495, $G$8 - 1 + 436 - 1), NA())</f>
        <v/>
      </c>
      <c r="Q437">
        <f>IF(436&lt;=$I$8, INDEX('Precios Diarios'!$E$2:$E$495, $G$8 - 1 + 436 - 1), NA())</f>
        <v/>
      </c>
      <c r="R437">
        <f>IF(436&lt;=$I$8, INDEX('Precios Diarios'!$F$2:$F$495, $G$8 - 1 + 436 - 1), NA())</f>
        <v/>
      </c>
    </row>
    <row r="438">
      <c r="P438" s="2">
        <f>IF(437&lt;=$I$8, INDEX('Precios Diarios'!$A$2:$A$495, $G$8 - 1 + 437 - 1), NA())</f>
        <v/>
      </c>
      <c r="Q438">
        <f>IF(437&lt;=$I$8, INDEX('Precios Diarios'!$E$2:$E$495, $G$8 - 1 + 437 - 1), NA())</f>
        <v/>
      </c>
      <c r="R438">
        <f>IF(437&lt;=$I$8, INDEX('Precios Diarios'!$F$2:$F$495, $G$8 - 1 + 437 - 1), NA())</f>
        <v/>
      </c>
    </row>
    <row r="439">
      <c r="P439" s="2">
        <f>IF(438&lt;=$I$8, INDEX('Precios Diarios'!$A$2:$A$495, $G$8 - 1 + 438 - 1), NA())</f>
        <v/>
      </c>
      <c r="Q439">
        <f>IF(438&lt;=$I$8, INDEX('Precios Diarios'!$E$2:$E$495, $G$8 - 1 + 438 - 1), NA())</f>
        <v/>
      </c>
      <c r="R439">
        <f>IF(438&lt;=$I$8, INDEX('Precios Diarios'!$F$2:$F$495, $G$8 - 1 + 438 - 1), NA())</f>
        <v/>
      </c>
    </row>
    <row r="440">
      <c r="P440" s="2">
        <f>IF(439&lt;=$I$8, INDEX('Precios Diarios'!$A$2:$A$495, $G$8 - 1 + 439 - 1), NA())</f>
        <v/>
      </c>
      <c r="Q440">
        <f>IF(439&lt;=$I$8, INDEX('Precios Diarios'!$E$2:$E$495, $G$8 - 1 + 439 - 1), NA())</f>
        <v/>
      </c>
      <c r="R440">
        <f>IF(439&lt;=$I$8, INDEX('Precios Diarios'!$F$2:$F$495, $G$8 - 1 + 439 - 1), NA())</f>
        <v/>
      </c>
    </row>
    <row r="441">
      <c r="P441" s="2">
        <f>IF(440&lt;=$I$8, INDEX('Precios Diarios'!$A$2:$A$495, $G$8 - 1 + 440 - 1), NA())</f>
        <v/>
      </c>
      <c r="Q441">
        <f>IF(440&lt;=$I$8, INDEX('Precios Diarios'!$E$2:$E$495, $G$8 - 1 + 440 - 1), NA())</f>
        <v/>
      </c>
      <c r="R441">
        <f>IF(440&lt;=$I$8, INDEX('Precios Diarios'!$F$2:$F$495, $G$8 - 1 + 440 - 1), NA())</f>
        <v/>
      </c>
    </row>
    <row r="442">
      <c r="P442" s="2">
        <f>IF(441&lt;=$I$8, INDEX('Precios Diarios'!$A$2:$A$495, $G$8 - 1 + 441 - 1), NA())</f>
        <v/>
      </c>
      <c r="Q442">
        <f>IF(441&lt;=$I$8, INDEX('Precios Diarios'!$E$2:$E$495, $G$8 - 1 + 441 - 1), NA())</f>
        <v/>
      </c>
      <c r="R442">
        <f>IF(441&lt;=$I$8, INDEX('Precios Diarios'!$F$2:$F$495, $G$8 - 1 + 441 - 1), NA())</f>
        <v/>
      </c>
    </row>
    <row r="443">
      <c r="P443" s="2">
        <f>IF(442&lt;=$I$8, INDEX('Precios Diarios'!$A$2:$A$495, $G$8 - 1 + 442 - 1), NA())</f>
        <v/>
      </c>
      <c r="Q443">
        <f>IF(442&lt;=$I$8, INDEX('Precios Diarios'!$E$2:$E$495, $G$8 - 1 + 442 - 1), NA())</f>
        <v/>
      </c>
      <c r="R443">
        <f>IF(442&lt;=$I$8, INDEX('Precios Diarios'!$F$2:$F$495, $G$8 - 1 + 442 - 1), NA())</f>
        <v/>
      </c>
    </row>
    <row r="444">
      <c r="P444" s="2">
        <f>IF(443&lt;=$I$8, INDEX('Precios Diarios'!$A$2:$A$495, $G$8 - 1 + 443 - 1), NA())</f>
        <v/>
      </c>
      <c r="Q444">
        <f>IF(443&lt;=$I$8, INDEX('Precios Diarios'!$E$2:$E$495, $G$8 - 1 + 443 - 1), NA())</f>
        <v/>
      </c>
      <c r="R444">
        <f>IF(443&lt;=$I$8, INDEX('Precios Diarios'!$F$2:$F$495, $G$8 - 1 + 443 - 1), NA())</f>
        <v/>
      </c>
    </row>
    <row r="445">
      <c r="P445" s="2">
        <f>IF(444&lt;=$I$8, INDEX('Precios Diarios'!$A$2:$A$495, $G$8 - 1 + 444 - 1), NA())</f>
        <v/>
      </c>
      <c r="Q445">
        <f>IF(444&lt;=$I$8, INDEX('Precios Diarios'!$E$2:$E$495, $G$8 - 1 + 444 - 1), NA())</f>
        <v/>
      </c>
      <c r="R445">
        <f>IF(444&lt;=$I$8, INDEX('Precios Diarios'!$F$2:$F$495, $G$8 - 1 + 444 - 1), NA())</f>
        <v/>
      </c>
    </row>
    <row r="446">
      <c r="P446" s="2">
        <f>IF(445&lt;=$I$8, INDEX('Precios Diarios'!$A$2:$A$495, $G$8 - 1 + 445 - 1), NA())</f>
        <v/>
      </c>
      <c r="Q446">
        <f>IF(445&lt;=$I$8, INDEX('Precios Diarios'!$E$2:$E$495, $G$8 - 1 + 445 - 1), NA())</f>
        <v/>
      </c>
      <c r="R446">
        <f>IF(445&lt;=$I$8, INDEX('Precios Diarios'!$F$2:$F$495, $G$8 - 1 + 445 - 1), NA())</f>
        <v/>
      </c>
    </row>
    <row r="447">
      <c r="P447" s="2">
        <f>IF(446&lt;=$I$8, INDEX('Precios Diarios'!$A$2:$A$495, $G$8 - 1 + 446 - 1), NA())</f>
        <v/>
      </c>
      <c r="Q447">
        <f>IF(446&lt;=$I$8, INDEX('Precios Diarios'!$E$2:$E$495, $G$8 - 1 + 446 - 1), NA())</f>
        <v/>
      </c>
      <c r="R447">
        <f>IF(446&lt;=$I$8, INDEX('Precios Diarios'!$F$2:$F$495, $G$8 - 1 + 446 - 1), NA())</f>
        <v/>
      </c>
    </row>
    <row r="448">
      <c r="P448" s="2">
        <f>IF(447&lt;=$I$8, INDEX('Precios Diarios'!$A$2:$A$495, $G$8 - 1 + 447 - 1), NA())</f>
        <v/>
      </c>
      <c r="Q448">
        <f>IF(447&lt;=$I$8, INDEX('Precios Diarios'!$E$2:$E$495, $G$8 - 1 + 447 - 1), NA())</f>
        <v/>
      </c>
      <c r="R448">
        <f>IF(447&lt;=$I$8, INDEX('Precios Diarios'!$F$2:$F$495, $G$8 - 1 + 447 - 1), NA())</f>
        <v/>
      </c>
    </row>
    <row r="449">
      <c r="P449" s="2">
        <f>IF(448&lt;=$I$8, INDEX('Precios Diarios'!$A$2:$A$495, $G$8 - 1 + 448 - 1), NA())</f>
        <v/>
      </c>
      <c r="Q449">
        <f>IF(448&lt;=$I$8, INDEX('Precios Diarios'!$E$2:$E$495, $G$8 - 1 + 448 - 1), NA())</f>
        <v/>
      </c>
      <c r="R449">
        <f>IF(448&lt;=$I$8, INDEX('Precios Diarios'!$F$2:$F$495, $G$8 - 1 + 448 - 1), NA())</f>
        <v/>
      </c>
    </row>
    <row r="450">
      <c r="P450" s="2">
        <f>IF(449&lt;=$I$8, INDEX('Precios Diarios'!$A$2:$A$495, $G$8 - 1 + 449 - 1), NA())</f>
        <v/>
      </c>
      <c r="Q450">
        <f>IF(449&lt;=$I$8, INDEX('Precios Diarios'!$E$2:$E$495, $G$8 - 1 + 449 - 1), NA())</f>
        <v/>
      </c>
      <c r="R450">
        <f>IF(449&lt;=$I$8, INDEX('Precios Diarios'!$F$2:$F$495, $G$8 - 1 + 449 - 1), NA())</f>
        <v/>
      </c>
    </row>
    <row r="451">
      <c r="P451" s="2">
        <f>IF(450&lt;=$I$8, INDEX('Precios Diarios'!$A$2:$A$495, $G$8 - 1 + 450 - 1), NA())</f>
        <v/>
      </c>
      <c r="Q451">
        <f>IF(450&lt;=$I$8, INDEX('Precios Diarios'!$E$2:$E$495, $G$8 - 1 + 450 - 1), NA())</f>
        <v/>
      </c>
      <c r="R451">
        <f>IF(450&lt;=$I$8, INDEX('Precios Diarios'!$F$2:$F$495, $G$8 - 1 + 450 - 1), NA())</f>
        <v/>
      </c>
    </row>
    <row r="452">
      <c r="P452" s="2">
        <f>IF(451&lt;=$I$8, INDEX('Precios Diarios'!$A$2:$A$495, $G$8 - 1 + 451 - 1), NA())</f>
        <v/>
      </c>
      <c r="Q452">
        <f>IF(451&lt;=$I$8, INDEX('Precios Diarios'!$E$2:$E$495, $G$8 - 1 + 451 - 1), NA())</f>
        <v/>
      </c>
      <c r="R452">
        <f>IF(451&lt;=$I$8, INDEX('Precios Diarios'!$F$2:$F$495, $G$8 - 1 + 451 - 1), NA())</f>
        <v/>
      </c>
    </row>
    <row r="453">
      <c r="P453" s="2">
        <f>IF(452&lt;=$I$8, INDEX('Precios Diarios'!$A$2:$A$495, $G$8 - 1 + 452 - 1), NA())</f>
        <v/>
      </c>
      <c r="Q453">
        <f>IF(452&lt;=$I$8, INDEX('Precios Diarios'!$E$2:$E$495, $G$8 - 1 + 452 - 1), NA())</f>
        <v/>
      </c>
      <c r="R453">
        <f>IF(452&lt;=$I$8, INDEX('Precios Diarios'!$F$2:$F$495, $G$8 - 1 + 452 - 1), NA())</f>
        <v/>
      </c>
    </row>
    <row r="454">
      <c r="P454" s="2">
        <f>IF(453&lt;=$I$8, INDEX('Precios Diarios'!$A$2:$A$495, $G$8 - 1 + 453 - 1), NA())</f>
        <v/>
      </c>
      <c r="Q454">
        <f>IF(453&lt;=$I$8, INDEX('Precios Diarios'!$E$2:$E$495, $G$8 - 1 + 453 - 1), NA())</f>
        <v/>
      </c>
      <c r="R454">
        <f>IF(453&lt;=$I$8, INDEX('Precios Diarios'!$F$2:$F$495, $G$8 - 1 + 453 - 1), NA())</f>
        <v/>
      </c>
    </row>
    <row r="455">
      <c r="P455" s="2">
        <f>IF(454&lt;=$I$8, INDEX('Precios Diarios'!$A$2:$A$495, $G$8 - 1 + 454 - 1), NA())</f>
        <v/>
      </c>
      <c r="Q455">
        <f>IF(454&lt;=$I$8, INDEX('Precios Diarios'!$E$2:$E$495, $G$8 - 1 + 454 - 1), NA())</f>
        <v/>
      </c>
      <c r="R455">
        <f>IF(454&lt;=$I$8, INDEX('Precios Diarios'!$F$2:$F$495, $G$8 - 1 + 454 - 1), NA())</f>
        <v/>
      </c>
    </row>
    <row r="456">
      <c r="P456" s="2">
        <f>IF(455&lt;=$I$8, INDEX('Precios Diarios'!$A$2:$A$495, $G$8 - 1 + 455 - 1), NA())</f>
        <v/>
      </c>
      <c r="Q456">
        <f>IF(455&lt;=$I$8, INDEX('Precios Diarios'!$E$2:$E$495, $G$8 - 1 + 455 - 1), NA())</f>
        <v/>
      </c>
      <c r="R456">
        <f>IF(455&lt;=$I$8, INDEX('Precios Diarios'!$F$2:$F$495, $G$8 - 1 + 455 - 1), NA())</f>
        <v/>
      </c>
    </row>
    <row r="457">
      <c r="P457" s="2">
        <f>IF(456&lt;=$I$8, INDEX('Precios Diarios'!$A$2:$A$495, $G$8 - 1 + 456 - 1), NA())</f>
        <v/>
      </c>
      <c r="Q457">
        <f>IF(456&lt;=$I$8, INDEX('Precios Diarios'!$E$2:$E$495, $G$8 - 1 + 456 - 1), NA())</f>
        <v/>
      </c>
      <c r="R457">
        <f>IF(456&lt;=$I$8, INDEX('Precios Diarios'!$F$2:$F$495, $G$8 - 1 + 456 - 1), NA())</f>
        <v/>
      </c>
    </row>
    <row r="458">
      <c r="P458" s="2">
        <f>IF(457&lt;=$I$8, INDEX('Precios Diarios'!$A$2:$A$495, $G$8 - 1 + 457 - 1), NA())</f>
        <v/>
      </c>
      <c r="Q458">
        <f>IF(457&lt;=$I$8, INDEX('Precios Diarios'!$E$2:$E$495, $G$8 - 1 + 457 - 1), NA())</f>
        <v/>
      </c>
      <c r="R458">
        <f>IF(457&lt;=$I$8, INDEX('Precios Diarios'!$F$2:$F$495, $G$8 - 1 + 457 - 1), NA())</f>
        <v/>
      </c>
    </row>
    <row r="459">
      <c r="P459" s="2">
        <f>IF(458&lt;=$I$8, INDEX('Precios Diarios'!$A$2:$A$495, $G$8 - 1 + 458 - 1), NA())</f>
        <v/>
      </c>
      <c r="Q459">
        <f>IF(458&lt;=$I$8, INDEX('Precios Diarios'!$E$2:$E$495, $G$8 - 1 + 458 - 1), NA())</f>
        <v/>
      </c>
      <c r="R459">
        <f>IF(458&lt;=$I$8, INDEX('Precios Diarios'!$F$2:$F$495, $G$8 - 1 + 458 - 1), NA())</f>
        <v/>
      </c>
    </row>
    <row r="460">
      <c r="P460" s="2">
        <f>IF(459&lt;=$I$8, INDEX('Precios Diarios'!$A$2:$A$495, $G$8 - 1 + 459 - 1), NA())</f>
        <v/>
      </c>
      <c r="Q460">
        <f>IF(459&lt;=$I$8, INDEX('Precios Diarios'!$E$2:$E$495, $G$8 - 1 + 459 - 1), NA())</f>
        <v/>
      </c>
      <c r="R460">
        <f>IF(459&lt;=$I$8, INDEX('Precios Diarios'!$F$2:$F$495, $G$8 - 1 + 459 - 1), NA())</f>
        <v/>
      </c>
    </row>
    <row r="461">
      <c r="P461" s="2">
        <f>IF(460&lt;=$I$8, INDEX('Precios Diarios'!$A$2:$A$495, $G$8 - 1 + 460 - 1), NA())</f>
        <v/>
      </c>
      <c r="Q461">
        <f>IF(460&lt;=$I$8, INDEX('Precios Diarios'!$E$2:$E$495, $G$8 - 1 + 460 - 1), NA())</f>
        <v/>
      </c>
      <c r="R461">
        <f>IF(460&lt;=$I$8, INDEX('Precios Diarios'!$F$2:$F$495, $G$8 - 1 + 460 - 1), NA())</f>
        <v/>
      </c>
    </row>
    <row r="462">
      <c r="P462" s="2">
        <f>IF(461&lt;=$I$8, INDEX('Precios Diarios'!$A$2:$A$495, $G$8 - 1 + 461 - 1), NA())</f>
        <v/>
      </c>
      <c r="Q462">
        <f>IF(461&lt;=$I$8, INDEX('Precios Diarios'!$E$2:$E$495, $G$8 - 1 + 461 - 1), NA())</f>
        <v/>
      </c>
      <c r="R462">
        <f>IF(461&lt;=$I$8, INDEX('Precios Diarios'!$F$2:$F$495, $G$8 - 1 + 461 - 1), NA())</f>
        <v/>
      </c>
    </row>
    <row r="463">
      <c r="P463" s="2">
        <f>IF(462&lt;=$I$8, INDEX('Precios Diarios'!$A$2:$A$495, $G$8 - 1 + 462 - 1), NA())</f>
        <v/>
      </c>
      <c r="Q463">
        <f>IF(462&lt;=$I$8, INDEX('Precios Diarios'!$E$2:$E$495, $G$8 - 1 + 462 - 1), NA())</f>
        <v/>
      </c>
      <c r="R463">
        <f>IF(462&lt;=$I$8, INDEX('Precios Diarios'!$F$2:$F$495, $G$8 - 1 + 462 - 1), NA())</f>
        <v/>
      </c>
    </row>
    <row r="464">
      <c r="P464" s="2">
        <f>IF(463&lt;=$I$8, INDEX('Precios Diarios'!$A$2:$A$495, $G$8 - 1 + 463 - 1), NA())</f>
        <v/>
      </c>
      <c r="Q464">
        <f>IF(463&lt;=$I$8, INDEX('Precios Diarios'!$E$2:$E$495, $G$8 - 1 + 463 - 1), NA())</f>
        <v/>
      </c>
      <c r="R464">
        <f>IF(463&lt;=$I$8, INDEX('Precios Diarios'!$F$2:$F$495, $G$8 - 1 + 463 - 1), NA())</f>
        <v/>
      </c>
    </row>
    <row r="465">
      <c r="P465" s="2">
        <f>IF(464&lt;=$I$8, INDEX('Precios Diarios'!$A$2:$A$495, $G$8 - 1 + 464 - 1), NA())</f>
        <v/>
      </c>
      <c r="Q465">
        <f>IF(464&lt;=$I$8, INDEX('Precios Diarios'!$E$2:$E$495, $G$8 - 1 + 464 - 1), NA())</f>
        <v/>
      </c>
      <c r="R465">
        <f>IF(464&lt;=$I$8, INDEX('Precios Diarios'!$F$2:$F$495, $G$8 - 1 + 464 - 1), NA())</f>
        <v/>
      </c>
    </row>
    <row r="466">
      <c r="P466" s="2">
        <f>IF(465&lt;=$I$8, INDEX('Precios Diarios'!$A$2:$A$495, $G$8 - 1 + 465 - 1), NA())</f>
        <v/>
      </c>
      <c r="Q466">
        <f>IF(465&lt;=$I$8, INDEX('Precios Diarios'!$E$2:$E$495, $G$8 - 1 + 465 - 1), NA())</f>
        <v/>
      </c>
      <c r="R466">
        <f>IF(465&lt;=$I$8, INDEX('Precios Diarios'!$F$2:$F$495, $G$8 - 1 + 465 - 1), NA())</f>
        <v/>
      </c>
    </row>
    <row r="467">
      <c r="P467" s="2">
        <f>IF(466&lt;=$I$8, INDEX('Precios Diarios'!$A$2:$A$495, $G$8 - 1 + 466 - 1), NA())</f>
        <v/>
      </c>
      <c r="Q467">
        <f>IF(466&lt;=$I$8, INDEX('Precios Diarios'!$E$2:$E$495, $G$8 - 1 + 466 - 1), NA())</f>
        <v/>
      </c>
      <c r="R467">
        <f>IF(466&lt;=$I$8, INDEX('Precios Diarios'!$F$2:$F$495, $G$8 - 1 + 466 - 1), NA())</f>
        <v/>
      </c>
    </row>
    <row r="468">
      <c r="P468" s="2">
        <f>IF(467&lt;=$I$8, INDEX('Precios Diarios'!$A$2:$A$495, $G$8 - 1 + 467 - 1), NA())</f>
        <v/>
      </c>
      <c r="Q468">
        <f>IF(467&lt;=$I$8, INDEX('Precios Diarios'!$E$2:$E$495, $G$8 - 1 + 467 - 1), NA())</f>
        <v/>
      </c>
      <c r="R468">
        <f>IF(467&lt;=$I$8, INDEX('Precios Diarios'!$F$2:$F$495, $G$8 - 1 + 467 - 1), NA())</f>
        <v/>
      </c>
    </row>
    <row r="469">
      <c r="P469" s="2">
        <f>IF(468&lt;=$I$8, INDEX('Precios Diarios'!$A$2:$A$495, $G$8 - 1 + 468 - 1), NA())</f>
        <v/>
      </c>
      <c r="Q469">
        <f>IF(468&lt;=$I$8, INDEX('Precios Diarios'!$E$2:$E$495, $G$8 - 1 + 468 - 1), NA())</f>
        <v/>
      </c>
      <c r="R469">
        <f>IF(468&lt;=$I$8, INDEX('Precios Diarios'!$F$2:$F$495, $G$8 - 1 + 468 - 1), NA())</f>
        <v/>
      </c>
    </row>
    <row r="470">
      <c r="P470" s="2">
        <f>IF(469&lt;=$I$8, INDEX('Precios Diarios'!$A$2:$A$495, $G$8 - 1 + 469 - 1), NA())</f>
        <v/>
      </c>
      <c r="Q470">
        <f>IF(469&lt;=$I$8, INDEX('Precios Diarios'!$E$2:$E$495, $G$8 - 1 + 469 - 1), NA())</f>
        <v/>
      </c>
      <c r="R470">
        <f>IF(469&lt;=$I$8, INDEX('Precios Diarios'!$F$2:$F$495, $G$8 - 1 + 469 - 1), NA())</f>
        <v/>
      </c>
    </row>
    <row r="471">
      <c r="P471" s="2">
        <f>IF(470&lt;=$I$8, INDEX('Precios Diarios'!$A$2:$A$495, $G$8 - 1 + 470 - 1), NA())</f>
        <v/>
      </c>
      <c r="Q471">
        <f>IF(470&lt;=$I$8, INDEX('Precios Diarios'!$E$2:$E$495, $G$8 - 1 + 470 - 1), NA())</f>
        <v/>
      </c>
      <c r="R471">
        <f>IF(470&lt;=$I$8, INDEX('Precios Diarios'!$F$2:$F$495, $G$8 - 1 + 470 - 1), NA())</f>
        <v/>
      </c>
    </row>
    <row r="472">
      <c r="P472" s="2">
        <f>IF(471&lt;=$I$8, INDEX('Precios Diarios'!$A$2:$A$495, $G$8 - 1 + 471 - 1), NA())</f>
        <v/>
      </c>
      <c r="Q472">
        <f>IF(471&lt;=$I$8, INDEX('Precios Diarios'!$E$2:$E$495, $G$8 - 1 + 471 - 1), NA())</f>
        <v/>
      </c>
      <c r="R472">
        <f>IF(471&lt;=$I$8, INDEX('Precios Diarios'!$F$2:$F$495, $G$8 - 1 + 471 - 1), NA())</f>
        <v/>
      </c>
    </row>
    <row r="473">
      <c r="P473" s="2">
        <f>IF(472&lt;=$I$8, INDEX('Precios Diarios'!$A$2:$A$495, $G$8 - 1 + 472 - 1), NA())</f>
        <v/>
      </c>
      <c r="Q473">
        <f>IF(472&lt;=$I$8, INDEX('Precios Diarios'!$E$2:$E$495, $G$8 - 1 + 472 - 1), NA())</f>
        <v/>
      </c>
      <c r="R473">
        <f>IF(472&lt;=$I$8, INDEX('Precios Diarios'!$F$2:$F$495, $G$8 - 1 + 472 - 1), NA())</f>
        <v/>
      </c>
    </row>
    <row r="474">
      <c r="P474" s="2">
        <f>IF(473&lt;=$I$8, INDEX('Precios Diarios'!$A$2:$A$495, $G$8 - 1 + 473 - 1), NA())</f>
        <v/>
      </c>
      <c r="Q474">
        <f>IF(473&lt;=$I$8, INDEX('Precios Diarios'!$E$2:$E$495, $G$8 - 1 + 473 - 1), NA())</f>
        <v/>
      </c>
      <c r="R474">
        <f>IF(473&lt;=$I$8, INDEX('Precios Diarios'!$F$2:$F$495, $G$8 - 1 + 473 - 1), NA())</f>
        <v/>
      </c>
    </row>
    <row r="475">
      <c r="P475" s="2">
        <f>IF(474&lt;=$I$8, INDEX('Precios Diarios'!$A$2:$A$495, $G$8 - 1 + 474 - 1), NA())</f>
        <v/>
      </c>
      <c r="Q475">
        <f>IF(474&lt;=$I$8, INDEX('Precios Diarios'!$E$2:$E$495, $G$8 - 1 + 474 - 1), NA())</f>
        <v/>
      </c>
      <c r="R475">
        <f>IF(474&lt;=$I$8, INDEX('Precios Diarios'!$F$2:$F$495, $G$8 - 1 + 474 - 1), NA())</f>
        <v/>
      </c>
    </row>
    <row r="476">
      <c r="P476" s="2">
        <f>IF(475&lt;=$I$8, INDEX('Precios Diarios'!$A$2:$A$495, $G$8 - 1 + 475 - 1), NA())</f>
        <v/>
      </c>
      <c r="Q476">
        <f>IF(475&lt;=$I$8, INDEX('Precios Diarios'!$E$2:$E$495, $G$8 - 1 + 475 - 1), NA())</f>
        <v/>
      </c>
      <c r="R476">
        <f>IF(475&lt;=$I$8, INDEX('Precios Diarios'!$F$2:$F$495, $G$8 - 1 + 475 - 1), NA())</f>
        <v/>
      </c>
    </row>
    <row r="477">
      <c r="P477" s="2">
        <f>IF(476&lt;=$I$8, INDEX('Precios Diarios'!$A$2:$A$495, $G$8 - 1 + 476 - 1), NA())</f>
        <v/>
      </c>
      <c r="Q477">
        <f>IF(476&lt;=$I$8, INDEX('Precios Diarios'!$E$2:$E$495, $G$8 - 1 + 476 - 1), NA())</f>
        <v/>
      </c>
      <c r="R477">
        <f>IF(476&lt;=$I$8, INDEX('Precios Diarios'!$F$2:$F$495, $G$8 - 1 + 476 - 1), NA())</f>
        <v/>
      </c>
    </row>
    <row r="478">
      <c r="P478" s="2">
        <f>IF(477&lt;=$I$8, INDEX('Precios Diarios'!$A$2:$A$495, $G$8 - 1 + 477 - 1), NA())</f>
        <v/>
      </c>
      <c r="Q478">
        <f>IF(477&lt;=$I$8, INDEX('Precios Diarios'!$E$2:$E$495, $G$8 - 1 + 477 - 1), NA())</f>
        <v/>
      </c>
      <c r="R478">
        <f>IF(477&lt;=$I$8, INDEX('Precios Diarios'!$F$2:$F$495, $G$8 - 1 + 477 - 1), NA())</f>
        <v/>
      </c>
    </row>
    <row r="479">
      <c r="P479" s="2">
        <f>IF(478&lt;=$I$8, INDEX('Precios Diarios'!$A$2:$A$495, $G$8 - 1 + 478 - 1), NA())</f>
        <v/>
      </c>
      <c r="Q479">
        <f>IF(478&lt;=$I$8, INDEX('Precios Diarios'!$E$2:$E$495, $G$8 - 1 + 478 - 1), NA())</f>
        <v/>
      </c>
      <c r="R479">
        <f>IF(478&lt;=$I$8, INDEX('Precios Diarios'!$F$2:$F$495, $G$8 - 1 + 478 - 1), NA())</f>
        <v/>
      </c>
    </row>
    <row r="480">
      <c r="P480" s="2">
        <f>IF(479&lt;=$I$8, INDEX('Precios Diarios'!$A$2:$A$495, $G$8 - 1 + 479 - 1), NA())</f>
        <v/>
      </c>
      <c r="Q480">
        <f>IF(479&lt;=$I$8, INDEX('Precios Diarios'!$E$2:$E$495, $G$8 - 1 + 479 - 1), NA())</f>
        <v/>
      </c>
      <c r="R480">
        <f>IF(479&lt;=$I$8, INDEX('Precios Diarios'!$F$2:$F$495, $G$8 - 1 + 479 - 1), NA())</f>
        <v/>
      </c>
    </row>
    <row r="481">
      <c r="P481" s="2">
        <f>IF(480&lt;=$I$8, INDEX('Precios Diarios'!$A$2:$A$495, $G$8 - 1 + 480 - 1), NA())</f>
        <v/>
      </c>
      <c r="Q481">
        <f>IF(480&lt;=$I$8, INDEX('Precios Diarios'!$E$2:$E$495, $G$8 - 1 + 480 - 1), NA())</f>
        <v/>
      </c>
      <c r="R481">
        <f>IF(480&lt;=$I$8, INDEX('Precios Diarios'!$F$2:$F$495, $G$8 - 1 + 480 - 1), NA())</f>
        <v/>
      </c>
    </row>
    <row r="482">
      <c r="P482" s="2">
        <f>IF(481&lt;=$I$8, INDEX('Precios Diarios'!$A$2:$A$495, $G$8 - 1 + 481 - 1), NA())</f>
        <v/>
      </c>
      <c r="Q482">
        <f>IF(481&lt;=$I$8, INDEX('Precios Diarios'!$E$2:$E$495, $G$8 - 1 + 481 - 1), NA())</f>
        <v/>
      </c>
      <c r="R482">
        <f>IF(481&lt;=$I$8, INDEX('Precios Diarios'!$F$2:$F$495, $G$8 - 1 + 481 - 1), NA())</f>
        <v/>
      </c>
    </row>
    <row r="483">
      <c r="P483" s="2">
        <f>IF(482&lt;=$I$8, INDEX('Precios Diarios'!$A$2:$A$495, $G$8 - 1 + 482 - 1), NA())</f>
        <v/>
      </c>
      <c r="Q483">
        <f>IF(482&lt;=$I$8, INDEX('Precios Diarios'!$E$2:$E$495, $G$8 - 1 + 482 - 1), NA())</f>
        <v/>
      </c>
      <c r="R483">
        <f>IF(482&lt;=$I$8, INDEX('Precios Diarios'!$F$2:$F$495, $G$8 - 1 + 482 - 1), NA())</f>
        <v/>
      </c>
    </row>
    <row r="484">
      <c r="P484" s="2">
        <f>IF(483&lt;=$I$8, INDEX('Precios Diarios'!$A$2:$A$495, $G$8 - 1 + 483 - 1), NA())</f>
        <v/>
      </c>
      <c r="Q484">
        <f>IF(483&lt;=$I$8, INDEX('Precios Diarios'!$E$2:$E$495, $G$8 - 1 + 483 - 1), NA())</f>
        <v/>
      </c>
      <c r="R484">
        <f>IF(483&lt;=$I$8, INDEX('Precios Diarios'!$F$2:$F$495, $G$8 - 1 + 483 - 1), NA())</f>
        <v/>
      </c>
    </row>
    <row r="485">
      <c r="P485" s="2">
        <f>IF(484&lt;=$I$8, INDEX('Precios Diarios'!$A$2:$A$495, $G$8 - 1 + 484 - 1), NA())</f>
        <v/>
      </c>
      <c r="Q485">
        <f>IF(484&lt;=$I$8, INDEX('Precios Diarios'!$E$2:$E$495, $G$8 - 1 + 484 - 1), NA())</f>
        <v/>
      </c>
      <c r="R485">
        <f>IF(484&lt;=$I$8, INDEX('Precios Diarios'!$F$2:$F$495, $G$8 - 1 + 484 - 1), NA())</f>
        <v/>
      </c>
    </row>
    <row r="486">
      <c r="P486" s="2">
        <f>IF(485&lt;=$I$8, INDEX('Precios Diarios'!$A$2:$A$495, $G$8 - 1 + 485 - 1), NA())</f>
        <v/>
      </c>
      <c r="Q486">
        <f>IF(485&lt;=$I$8, INDEX('Precios Diarios'!$E$2:$E$495, $G$8 - 1 + 485 - 1), NA())</f>
        <v/>
      </c>
      <c r="R486">
        <f>IF(485&lt;=$I$8, INDEX('Precios Diarios'!$F$2:$F$495, $G$8 - 1 + 485 - 1), NA())</f>
        <v/>
      </c>
    </row>
    <row r="487">
      <c r="P487" s="2">
        <f>IF(486&lt;=$I$8, INDEX('Precios Diarios'!$A$2:$A$495, $G$8 - 1 + 486 - 1), NA())</f>
        <v/>
      </c>
      <c r="Q487">
        <f>IF(486&lt;=$I$8, INDEX('Precios Diarios'!$E$2:$E$495, $G$8 - 1 + 486 - 1), NA())</f>
        <v/>
      </c>
      <c r="R487">
        <f>IF(486&lt;=$I$8, INDEX('Precios Diarios'!$F$2:$F$495, $G$8 - 1 + 486 - 1), NA())</f>
        <v/>
      </c>
    </row>
    <row r="488">
      <c r="P488" s="2">
        <f>IF(487&lt;=$I$8, INDEX('Precios Diarios'!$A$2:$A$495, $G$8 - 1 + 487 - 1), NA())</f>
        <v/>
      </c>
      <c r="Q488">
        <f>IF(487&lt;=$I$8, INDEX('Precios Diarios'!$E$2:$E$495, $G$8 - 1 + 487 - 1), NA())</f>
        <v/>
      </c>
      <c r="R488">
        <f>IF(487&lt;=$I$8, INDEX('Precios Diarios'!$F$2:$F$495, $G$8 - 1 + 487 - 1), NA())</f>
        <v/>
      </c>
    </row>
    <row r="489">
      <c r="P489" s="2">
        <f>IF(488&lt;=$I$8, INDEX('Precios Diarios'!$A$2:$A$495, $G$8 - 1 + 488 - 1), NA())</f>
        <v/>
      </c>
      <c r="Q489">
        <f>IF(488&lt;=$I$8, INDEX('Precios Diarios'!$E$2:$E$495, $G$8 - 1 + 488 - 1), NA())</f>
        <v/>
      </c>
      <c r="R489">
        <f>IF(488&lt;=$I$8, INDEX('Precios Diarios'!$F$2:$F$495, $G$8 - 1 + 488 - 1), NA())</f>
        <v/>
      </c>
    </row>
    <row r="490">
      <c r="P490" s="2">
        <f>IF(489&lt;=$I$8, INDEX('Precios Diarios'!$A$2:$A$495, $G$8 - 1 + 489 - 1), NA())</f>
        <v/>
      </c>
      <c r="Q490">
        <f>IF(489&lt;=$I$8, INDEX('Precios Diarios'!$E$2:$E$495, $G$8 - 1 + 489 - 1), NA())</f>
        <v/>
      </c>
      <c r="R490">
        <f>IF(489&lt;=$I$8, INDEX('Precios Diarios'!$F$2:$F$495, $G$8 - 1 + 489 - 1), NA())</f>
        <v/>
      </c>
    </row>
    <row r="491">
      <c r="P491" s="2">
        <f>IF(490&lt;=$I$8, INDEX('Precios Diarios'!$A$2:$A$495, $G$8 - 1 + 490 - 1), NA())</f>
        <v/>
      </c>
      <c r="Q491">
        <f>IF(490&lt;=$I$8, INDEX('Precios Diarios'!$E$2:$E$495, $G$8 - 1 + 490 - 1), NA())</f>
        <v/>
      </c>
      <c r="R491">
        <f>IF(490&lt;=$I$8, INDEX('Precios Diarios'!$F$2:$F$495, $G$8 - 1 + 490 - 1), NA())</f>
        <v/>
      </c>
    </row>
    <row r="492">
      <c r="P492" s="2">
        <f>IF(491&lt;=$I$8, INDEX('Precios Diarios'!$A$2:$A$495, $G$8 - 1 + 491 - 1), NA())</f>
        <v/>
      </c>
      <c r="Q492">
        <f>IF(491&lt;=$I$8, INDEX('Precios Diarios'!$E$2:$E$495, $G$8 - 1 + 491 - 1), NA())</f>
        <v/>
      </c>
      <c r="R492">
        <f>IF(491&lt;=$I$8, INDEX('Precios Diarios'!$F$2:$F$495, $G$8 - 1 + 491 - 1), NA())</f>
        <v/>
      </c>
    </row>
    <row r="493">
      <c r="P493" s="2">
        <f>IF(492&lt;=$I$8, INDEX('Precios Diarios'!$A$2:$A$495, $G$8 - 1 + 492 - 1), NA())</f>
        <v/>
      </c>
      <c r="Q493">
        <f>IF(492&lt;=$I$8, INDEX('Precios Diarios'!$E$2:$E$495, $G$8 - 1 + 492 - 1), NA())</f>
        <v/>
      </c>
      <c r="R493">
        <f>IF(492&lt;=$I$8, INDEX('Precios Diarios'!$F$2:$F$495, $G$8 - 1 + 492 - 1), NA())</f>
        <v/>
      </c>
    </row>
    <row r="494">
      <c r="P494" s="2">
        <f>IF(493&lt;=$I$8, INDEX('Precios Diarios'!$A$2:$A$495, $G$8 - 1 + 493 - 1), NA())</f>
        <v/>
      </c>
      <c r="Q494">
        <f>IF(493&lt;=$I$8, INDEX('Precios Diarios'!$E$2:$E$495, $G$8 - 1 + 493 - 1), NA())</f>
        <v/>
      </c>
      <c r="R494">
        <f>IF(493&lt;=$I$8, INDEX('Precios Diarios'!$F$2:$F$495, $G$8 - 1 + 493 - 1), NA())</f>
        <v/>
      </c>
    </row>
    <row r="495">
      <c r="P495" s="2">
        <f>IF(494&lt;=$I$8, INDEX('Precios Diarios'!$A$2:$A$495, $G$8 - 1 + 494 - 1), NA())</f>
        <v/>
      </c>
      <c r="Q495">
        <f>IF(494&lt;=$I$8, INDEX('Precios Diarios'!$E$2:$E$495, $G$8 - 1 + 494 - 1), NA())</f>
        <v/>
      </c>
      <c r="R495">
        <f>IF(494&lt;=$I$8, INDEX('Precios Diarios'!$F$2:$F$495, $G$8 - 1 + 494 - 1),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4332.7998046875</v>
      </c>
      <c r="C494" s="15" t="n">
        <v>63.23600006103516</v>
      </c>
      <c r="D494" s="15" t="n">
        <v>3120.429931640625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4324.89990234375</v>
      </c>
      <c r="C495" s="19" t="n">
        <v>63.81499862670898</v>
      </c>
      <c r="D495" s="19" t="n">
        <v>3120.429931640625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</sheetData>
  <autoFilter ref="A1:H4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2026-09-17T00:57:11Z</dcterms:created>
  <dcterms:modified xsi:type="dcterms:W3CDTF">2026-09-17T00:57:12Z</dcterms:modified>
</cp:coreProperties>
</file>