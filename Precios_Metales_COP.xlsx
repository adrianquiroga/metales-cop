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y Gráficos" sheetId="1" state="visible" r:id="rId1"/>
    <sheet name="Precios Diarios" sheetId="2" state="visible" r:id="rId2"/>
  </sheets>
  <definedNames>
    <definedName name="_xlnm._FilterDatabase" localSheetId="1" hidden="1">'Precios Diarios'!$A$1:$H$531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 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3"/>
    </font>
    <font>
      <name val="Segoe UI"/>
      <b val="1"/>
      <color rgb="0064748B"/>
      <sz val="9"/>
    </font>
    <font>
      <name val="Segoe UI"/>
      <b val="1"/>
      <color rgb="001E293B"/>
      <sz val="15"/>
    </font>
    <font>
      <name val="Segoe UI"/>
      <b val="1"/>
      <color rgb="001E293B"/>
      <sz val="10"/>
    </font>
    <font>
      <name val="Segoe UI"/>
      <b val="1"/>
      <color rgb="000F172A"/>
      <sz val="11"/>
    </font>
    <font>
      <name val="Segoe UI"/>
      <color rgb="0094A3B8"/>
      <sz val="8"/>
    </font>
    <font>
      <name val="Segoe UI"/>
      <i val="1"/>
      <color rgb="0064748B"/>
      <sz val="8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65" fontId="9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Evolución del Precio del ORO (COP / Gramo)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y Gráficos'!Q1</f>
            </strRef>
          </tx>
          <spPr>
            <a:ln w="22000">
              <a:solidFill>
                <a:srgbClr val="D97706"/>
              </a:solidFill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cat>
            <numRef>
              <f>'Dashboard y Gráficos'!$P$2:$P$531</f>
            </numRef>
          </cat>
          <val>
            <numRef>
              <f>'Dashboard y Gráficos'!$Q$2:$Q$531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COP / g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Evolución del Precio de la PLATA (COP / Gramo)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y Gráficos'!R1</f>
            </strRef>
          </tx>
          <spPr>
            <a:ln w="22000">
              <a:solidFill>
                <a:srgbClr val="475569"/>
              </a:solidFill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cat>
            <numRef>
              <f>'Dashboard y Gráficos'!$P$2:$P$531</f>
            </numRef>
          </cat>
          <val>
            <numRef>
              <f>'Dashboard y Gráficos'!$R$2:$R$531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COP / g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Comparativo Histórico: ORO vs PLATA (COP/g) [Eje Doble]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y Gráficos'!Q1</f>
            </strRef>
          </tx>
          <spPr>
            <a:ln>
              <a:solidFill>
                <a:srgbClr val="D9770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y Gráficos'!$P$2:$P$531</f>
            </numRef>
          </cat>
          <val>
            <numRef>
              <f>'Dashboard y Gráficos'!$Q$2:$Q$531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'Dashboard y Gráficos'!R1</f>
            </strRef>
          </tx>
          <spPr>
            <a:ln>
              <a:solidFill>
                <a:srgbClr val="4755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'Dashboard y Gráficos'!$R$2:$R$531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Oro (COP/g)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Plata (COP/g)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10</row>
      <rowOff>0</rowOff>
    </from>
    <ext cx="61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122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6" customHeight="1">
      <c r="A1" s="1" t="inlineStr">
        <is>
          <t>MONITOREO DE METALES PRECIOSOS: ORO Y PLATA EN PESOS COLOMBIANOS (COP)</t>
        </is>
      </c>
      <c r="P1" t="inlineStr">
        <is>
          <t>Fecha</t>
        </is>
      </c>
      <c r="Q1" t="inlineStr">
        <is>
          <t>Oro (COP/g)</t>
        </is>
      </c>
      <c r="R1" t="inlineStr">
        <is>
          <t>Plata (COP/g)</t>
        </is>
      </c>
    </row>
    <row r="2">
      <c r="P2" s="2">
        <f>IF(1&lt;=$I$8, INDEX('Precios Diarios'!$A$2:$A$531, $G$8 - 1 + 1 - 1), NA())</f>
        <v/>
      </c>
      <c r="Q2">
        <f>IF(1&lt;=$I$8, INDEX('Precios Diarios'!$E$2:$E$531, $G$8 - 1 + 1 - 1), NA())</f>
        <v/>
      </c>
      <c r="R2">
        <f>IF(1&lt;=$I$8, INDEX('Precios Diarios'!$F$2:$F$531, $G$8 - 1 + 1 - 1), NA())</f>
        <v/>
      </c>
    </row>
    <row r="3">
      <c r="A3" s="3" t="inlineStr">
        <is>
          <t>ÚLTIMA FECHA</t>
        </is>
      </c>
      <c r="B3" s="4" t="n"/>
      <c r="C3" s="4" t="n"/>
      <c r="D3" s="3" t="inlineStr">
        <is>
          <t>ORO (COP/g)</t>
        </is>
      </c>
      <c r="E3" s="4" t="n"/>
      <c r="F3" s="4" t="n"/>
      <c r="G3" s="3" t="inlineStr">
        <is>
          <t>PLATA (COP/g)</t>
        </is>
      </c>
      <c r="H3" s="4" t="n"/>
      <c r="I3" s="4" t="n"/>
      <c r="J3" s="3" t="inlineStr">
        <is>
          <t>TRM (USD/COP)</t>
        </is>
      </c>
      <c r="K3" s="4" t="n"/>
      <c r="L3" s="4" t="n"/>
      <c r="M3" s="3" t="inlineStr">
        <is>
          <t>VAR. DÍA ORO</t>
        </is>
      </c>
      <c r="N3" s="4" t="n"/>
      <c r="P3" s="2">
        <f>IF(2&lt;=$I$8, INDEX('Precios Diarios'!$A$2:$A$531, $G$8 - 1 + 2 - 1), NA())</f>
        <v/>
      </c>
      <c r="Q3">
        <f>IF(2&lt;=$I$8, INDEX('Precios Diarios'!$E$2:$E$531, $G$8 - 1 + 2 - 1), NA())</f>
        <v/>
      </c>
      <c r="R3">
        <f>IF(2&lt;=$I$8, INDEX('Precios Diarios'!$F$2:$F$531, $G$8 - 1 + 2 - 1), NA())</f>
        <v/>
      </c>
    </row>
    <row r="4">
      <c r="A4" s="5">
        <f>'Precios Diarios'!A531</f>
        <v/>
      </c>
      <c r="B4" s="4" t="n"/>
      <c r="C4" s="4" t="n"/>
      <c r="D4" s="6">
        <f>'Precios Diarios'!E531</f>
        <v/>
      </c>
      <c r="E4" s="4" t="n"/>
      <c r="F4" s="4" t="n"/>
      <c r="G4" s="6">
        <f>'Precios Diarios'!F531</f>
        <v/>
      </c>
      <c r="H4" s="4" t="n"/>
      <c r="I4" s="4" t="n"/>
      <c r="J4" s="6">
        <f>'Precios Diarios'!D531</f>
        <v/>
      </c>
      <c r="K4" s="4" t="n"/>
      <c r="L4" s="4" t="n"/>
      <c r="M4" s="7">
        <f>'Precios Diarios'!G531</f>
        <v/>
      </c>
      <c r="N4" s="4" t="n"/>
      <c r="P4" s="2">
        <f>IF(3&lt;=$I$8, INDEX('Precios Diarios'!$A$2:$A$531, $G$8 - 1 + 3 - 1), NA())</f>
        <v/>
      </c>
      <c r="Q4">
        <f>IF(3&lt;=$I$8, INDEX('Precios Diarios'!$E$2:$E$531, $G$8 - 1 + 3 - 1), NA())</f>
        <v/>
      </c>
      <c r="R4">
        <f>IF(3&lt;=$I$8, INDEX('Precios Diarios'!$F$2:$F$531, $G$8 - 1 + 3 - 1), NA())</f>
        <v/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P5" s="2">
        <f>IF(4&lt;=$I$8, INDEX('Precios Diarios'!$A$2:$A$531, $G$8 - 1 + 4 - 1), NA())</f>
        <v/>
      </c>
      <c r="Q5">
        <f>IF(4&lt;=$I$8, INDEX('Precios Diarios'!$E$2:$E$531, $G$8 - 1 + 4 - 1), NA())</f>
        <v/>
      </c>
      <c r="R5">
        <f>IF(4&lt;=$I$8, INDEX('Precios Diarios'!$F$2:$F$531, $G$8 - 1 + 4 - 1), NA())</f>
        <v/>
      </c>
    </row>
    <row r="6">
      <c r="P6" s="2">
        <f>IF(5&lt;=$I$8, INDEX('Precios Diarios'!$A$2:$A$531, $G$8 - 1 + 5 - 1), NA())</f>
        <v/>
      </c>
      <c r="Q6">
        <f>IF(5&lt;=$I$8, INDEX('Precios Diarios'!$E$2:$E$531, $G$8 - 1 + 5 - 1), NA())</f>
        <v/>
      </c>
      <c r="R6">
        <f>IF(5&lt;=$I$8, INDEX('Precios Diarios'!$F$2:$F$531, $G$8 - 1 + 5 - 1), NA())</f>
        <v/>
      </c>
    </row>
    <row r="7">
      <c r="A7" s="8" t="inlineStr">
        <is>
          <t>SELECCIÓN DE PERÍODO A GRAFICAR:</t>
        </is>
      </c>
      <c r="P7" s="2">
        <f>IF(6&lt;=$I$8, INDEX('Precios Diarios'!$A$2:$A$531, $G$8 - 1 + 6 - 1), NA())</f>
        <v/>
      </c>
      <c r="Q7">
        <f>IF(6&lt;=$I$8, INDEX('Precios Diarios'!$E$2:$E$531, $G$8 - 1 + 6 - 1), NA())</f>
        <v/>
      </c>
      <c r="R7">
        <f>IF(6&lt;=$I$8, INDEX('Precios Diarios'!$F$2:$F$531, $G$8 - 1 + 6 - 1), NA())</f>
        <v/>
      </c>
    </row>
    <row r="8" ht="24" customHeight="1">
      <c r="A8" s="9" t="inlineStr">
        <is>
          <t>Todo el Historial (Desde 2025)</t>
        </is>
      </c>
      <c r="E8" s="10">
        <f>IF(A8="Año 2025", DATE(2025,1,1), IF(A8="Año 2026", DATE(2026,1,1), IF(A8="Últimos 90 Días", TODAY()-90, IF(A8="Últimos 30 Días", TODAY()-30, DATE(2025,1,1)))))</f>
        <v/>
      </c>
      <c r="F8" s="10">
        <f>IF(A8="Año 2025", DATE(2025,12,31), IF(A8="Año 2026", DATE(2026,12,31), TODAY()))</f>
        <v/>
      </c>
      <c r="G8" s="11">
        <f>IFERROR(MATCH(E8, 'Precios Diarios'!$A$2:$A$531, 1), 1) + 1</f>
        <v/>
      </c>
      <c r="H8" s="11">
        <f>IFERROR(MATCH(F8, 'Precios Diarios'!$A$2:$A$531, 1), 530) + 1</f>
        <v/>
      </c>
      <c r="I8" s="11">
        <f>MAX(1, H8 - G8 + 1)</f>
        <v/>
      </c>
      <c r="P8" s="2">
        <f>IF(7&lt;=$I$8, INDEX('Precios Diarios'!$A$2:$A$531, $G$8 - 1 + 7 - 1), NA())</f>
        <v/>
      </c>
      <c r="Q8">
        <f>IF(7&lt;=$I$8, INDEX('Precios Diarios'!$E$2:$E$531, $G$8 - 1 + 7 - 1), NA())</f>
        <v/>
      </c>
      <c r="R8">
        <f>IF(7&lt;=$I$8, INDEX('Precios Diarios'!$F$2:$F$531, $G$8 - 1 + 7 - 1), NA())</f>
        <v/>
      </c>
    </row>
    <row r="9">
      <c r="A9" s="12" t="inlineStr">
        <is>
          <t>Nota: Para cambiar el período use A8. Para ver precios exactos al pasar el cursor, abra 'index.html'.</t>
        </is>
      </c>
      <c r="P9" s="2">
        <f>IF(8&lt;=$I$8, INDEX('Precios Diarios'!$A$2:$A$531, $G$8 - 1 + 8 - 1), NA())</f>
        <v/>
      </c>
      <c r="Q9">
        <f>IF(8&lt;=$I$8, INDEX('Precios Diarios'!$E$2:$E$531, $G$8 - 1 + 8 - 1), NA())</f>
        <v/>
      </c>
      <c r="R9">
        <f>IF(8&lt;=$I$8, INDEX('Precios Diarios'!$F$2:$F$531, $G$8 - 1 + 8 - 1), NA())</f>
        <v/>
      </c>
    </row>
    <row r="10">
      <c r="P10" s="2">
        <f>IF(9&lt;=$I$8, INDEX('Precios Diarios'!$A$2:$A$531, $G$8 - 1 + 9 - 1), NA())</f>
        <v/>
      </c>
      <c r="Q10">
        <f>IF(9&lt;=$I$8, INDEX('Precios Diarios'!$E$2:$E$531, $G$8 - 1 + 9 - 1), NA())</f>
        <v/>
      </c>
      <c r="R10">
        <f>IF(9&lt;=$I$8, INDEX('Precios Diarios'!$F$2:$F$531, $G$8 - 1 + 9 - 1), NA())</f>
        <v/>
      </c>
    </row>
    <row r="11">
      <c r="P11" s="2">
        <f>IF(10&lt;=$I$8, INDEX('Precios Diarios'!$A$2:$A$531, $G$8 - 1 + 10 - 1), NA())</f>
        <v/>
      </c>
      <c r="Q11">
        <f>IF(10&lt;=$I$8, INDEX('Precios Diarios'!$E$2:$E$531, $G$8 - 1 + 10 - 1), NA())</f>
        <v/>
      </c>
      <c r="R11">
        <f>IF(10&lt;=$I$8, INDEX('Precios Diarios'!$F$2:$F$531, $G$8 - 1 + 10 - 1), NA())</f>
        <v/>
      </c>
    </row>
    <row r="12">
      <c r="P12" s="2">
        <f>IF(11&lt;=$I$8, INDEX('Precios Diarios'!$A$2:$A$531, $G$8 - 1 + 11 - 1), NA())</f>
        <v/>
      </c>
      <c r="Q12">
        <f>IF(11&lt;=$I$8, INDEX('Precios Diarios'!$E$2:$E$531, $G$8 - 1 + 11 - 1), NA())</f>
        <v/>
      </c>
      <c r="R12">
        <f>IF(11&lt;=$I$8, INDEX('Precios Diarios'!$F$2:$F$531, $G$8 - 1 + 11 - 1), NA())</f>
        <v/>
      </c>
    </row>
    <row r="13">
      <c r="P13" s="2">
        <f>IF(12&lt;=$I$8, INDEX('Precios Diarios'!$A$2:$A$531, $G$8 - 1 + 12 - 1), NA())</f>
        <v/>
      </c>
      <c r="Q13">
        <f>IF(12&lt;=$I$8, INDEX('Precios Diarios'!$E$2:$E$531, $G$8 - 1 + 12 - 1), NA())</f>
        <v/>
      </c>
      <c r="R13">
        <f>IF(12&lt;=$I$8, INDEX('Precios Diarios'!$F$2:$F$531, $G$8 - 1 + 12 - 1), NA())</f>
        <v/>
      </c>
    </row>
    <row r="14">
      <c r="P14" s="2">
        <f>IF(13&lt;=$I$8, INDEX('Precios Diarios'!$A$2:$A$531, $G$8 - 1 + 13 - 1), NA())</f>
        <v/>
      </c>
      <c r="Q14">
        <f>IF(13&lt;=$I$8, INDEX('Precios Diarios'!$E$2:$E$531, $G$8 - 1 + 13 - 1), NA())</f>
        <v/>
      </c>
      <c r="R14">
        <f>IF(13&lt;=$I$8, INDEX('Precios Diarios'!$F$2:$F$531, $G$8 - 1 + 13 - 1), NA())</f>
        <v/>
      </c>
    </row>
    <row r="15">
      <c r="P15" s="2">
        <f>IF(14&lt;=$I$8, INDEX('Precios Diarios'!$A$2:$A$531, $G$8 - 1 + 14 - 1), NA())</f>
        <v/>
      </c>
      <c r="Q15">
        <f>IF(14&lt;=$I$8, INDEX('Precios Diarios'!$E$2:$E$531, $G$8 - 1 + 14 - 1), NA())</f>
        <v/>
      </c>
      <c r="R15">
        <f>IF(14&lt;=$I$8, INDEX('Precios Diarios'!$F$2:$F$531, $G$8 - 1 + 14 - 1), NA())</f>
        <v/>
      </c>
    </row>
    <row r="16">
      <c r="P16" s="2">
        <f>IF(15&lt;=$I$8, INDEX('Precios Diarios'!$A$2:$A$531, $G$8 - 1 + 15 - 1), NA())</f>
        <v/>
      </c>
      <c r="Q16">
        <f>IF(15&lt;=$I$8, INDEX('Precios Diarios'!$E$2:$E$531, $G$8 - 1 + 15 - 1), NA())</f>
        <v/>
      </c>
      <c r="R16">
        <f>IF(15&lt;=$I$8, INDEX('Precios Diarios'!$F$2:$F$531, $G$8 - 1 + 15 - 1), NA())</f>
        <v/>
      </c>
    </row>
    <row r="17">
      <c r="P17" s="2">
        <f>IF(16&lt;=$I$8, INDEX('Precios Diarios'!$A$2:$A$531, $G$8 - 1 + 16 - 1), NA())</f>
        <v/>
      </c>
      <c r="Q17">
        <f>IF(16&lt;=$I$8, INDEX('Precios Diarios'!$E$2:$E$531, $G$8 - 1 + 16 - 1), NA())</f>
        <v/>
      </c>
      <c r="R17">
        <f>IF(16&lt;=$I$8, INDEX('Precios Diarios'!$F$2:$F$531, $G$8 - 1 + 16 - 1), NA())</f>
        <v/>
      </c>
    </row>
    <row r="18">
      <c r="P18" s="2">
        <f>IF(17&lt;=$I$8, INDEX('Precios Diarios'!$A$2:$A$531, $G$8 - 1 + 17 - 1), NA())</f>
        <v/>
      </c>
      <c r="Q18">
        <f>IF(17&lt;=$I$8, INDEX('Precios Diarios'!$E$2:$E$531, $G$8 - 1 + 17 - 1), NA())</f>
        <v/>
      </c>
      <c r="R18">
        <f>IF(17&lt;=$I$8, INDEX('Precios Diarios'!$F$2:$F$531, $G$8 - 1 + 17 - 1), NA())</f>
        <v/>
      </c>
    </row>
    <row r="19">
      <c r="P19" s="2">
        <f>IF(18&lt;=$I$8, INDEX('Precios Diarios'!$A$2:$A$531, $G$8 - 1 + 18 - 1), NA())</f>
        <v/>
      </c>
      <c r="Q19">
        <f>IF(18&lt;=$I$8, INDEX('Precios Diarios'!$E$2:$E$531, $G$8 - 1 + 18 - 1), NA())</f>
        <v/>
      </c>
      <c r="R19">
        <f>IF(18&lt;=$I$8, INDEX('Precios Diarios'!$F$2:$F$531, $G$8 - 1 + 18 - 1), NA())</f>
        <v/>
      </c>
    </row>
    <row r="20">
      <c r="P20" s="2">
        <f>IF(19&lt;=$I$8, INDEX('Precios Diarios'!$A$2:$A$531, $G$8 - 1 + 19 - 1), NA())</f>
        <v/>
      </c>
      <c r="Q20">
        <f>IF(19&lt;=$I$8, INDEX('Precios Diarios'!$E$2:$E$531, $G$8 - 1 + 19 - 1), NA())</f>
        <v/>
      </c>
      <c r="R20">
        <f>IF(19&lt;=$I$8, INDEX('Precios Diarios'!$F$2:$F$531, $G$8 - 1 + 19 - 1), NA())</f>
        <v/>
      </c>
    </row>
    <row r="21">
      <c r="P21" s="2">
        <f>IF(20&lt;=$I$8, INDEX('Precios Diarios'!$A$2:$A$531, $G$8 - 1 + 20 - 1), NA())</f>
        <v/>
      </c>
      <c r="Q21">
        <f>IF(20&lt;=$I$8, INDEX('Precios Diarios'!$E$2:$E$531, $G$8 - 1 + 20 - 1), NA())</f>
        <v/>
      </c>
      <c r="R21">
        <f>IF(20&lt;=$I$8, INDEX('Precios Diarios'!$F$2:$F$531, $G$8 - 1 + 20 - 1), NA())</f>
        <v/>
      </c>
    </row>
    <row r="22">
      <c r="P22" s="2">
        <f>IF(21&lt;=$I$8, INDEX('Precios Diarios'!$A$2:$A$531, $G$8 - 1 + 21 - 1), NA())</f>
        <v/>
      </c>
      <c r="Q22">
        <f>IF(21&lt;=$I$8, INDEX('Precios Diarios'!$E$2:$E$531, $G$8 - 1 + 21 - 1), NA())</f>
        <v/>
      </c>
      <c r="R22">
        <f>IF(21&lt;=$I$8, INDEX('Precios Diarios'!$F$2:$F$531, $G$8 - 1 + 21 - 1), NA())</f>
        <v/>
      </c>
    </row>
    <row r="23">
      <c r="P23" s="2">
        <f>IF(22&lt;=$I$8, INDEX('Precios Diarios'!$A$2:$A$531, $G$8 - 1 + 22 - 1), NA())</f>
        <v/>
      </c>
      <c r="Q23">
        <f>IF(22&lt;=$I$8, INDEX('Precios Diarios'!$E$2:$E$531, $G$8 - 1 + 22 - 1), NA())</f>
        <v/>
      </c>
      <c r="R23">
        <f>IF(22&lt;=$I$8, INDEX('Precios Diarios'!$F$2:$F$531, $G$8 - 1 + 22 - 1), NA())</f>
        <v/>
      </c>
    </row>
    <row r="24">
      <c r="P24" s="2">
        <f>IF(23&lt;=$I$8, INDEX('Precios Diarios'!$A$2:$A$531, $G$8 - 1 + 23 - 1), NA())</f>
        <v/>
      </c>
      <c r="Q24">
        <f>IF(23&lt;=$I$8, INDEX('Precios Diarios'!$E$2:$E$531, $G$8 - 1 + 23 - 1), NA())</f>
        <v/>
      </c>
      <c r="R24">
        <f>IF(23&lt;=$I$8, INDEX('Precios Diarios'!$F$2:$F$531, $G$8 - 1 + 23 - 1), NA())</f>
        <v/>
      </c>
    </row>
    <row r="25">
      <c r="P25" s="2">
        <f>IF(24&lt;=$I$8, INDEX('Precios Diarios'!$A$2:$A$531, $G$8 - 1 + 24 - 1), NA())</f>
        <v/>
      </c>
      <c r="Q25">
        <f>IF(24&lt;=$I$8, INDEX('Precios Diarios'!$E$2:$E$531, $G$8 - 1 + 24 - 1), NA())</f>
        <v/>
      </c>
      <c r="R25">
        <f>IF(24&lt;=$I$8, INDEX('Precios Diarios'!$F$2:$F$531, $G$8 - 1 + 24 - 1), NA())</f>
        <v/>
      </c>
    </row>
    <row r="26">
      <c r="P26" s="2">
        <f>IF(25&lt;=$I$8, INDEX('Precios Diarios'!$A$2:$A$531, $G$8 - 1 + 25 - 1), NA())</f>
        <v/>
      </c>
      <c r="Q26">
        <f>IF(25&lt;=$I$8, INDEX('Precios Diarios'!$E$2:$E$531, $G$8 - 1 + 25 - 1), NA())</f>
        <v/>
      </c>
      <c r="R26">
        <f>IF(25&lt;=$I$8, INDEX('Precios Diarios'!$F$2:$F$531, $G$8 - 1 + 25 - 1), NA())</f>
        <v/>
      </c>
    </row>
    <row r="27">
      <c r="P27" s="2">
        <f>IF(26&lt;=$I$8, INDEX('Precios Diarios'!$A$2:$A$531, $G$8 - 1 + 26 - 1), NA())</f>
        <v/>
      </c>
      <c r="Q27">
        <f>IF(26&lt;=$I$8, INDEX('Precios Diarios'!$E$2:$E$531, $G$8 - 1 + 26 - 1), NA())</f>
        <v/>
      </c>
      <c r="R27">
        <f>IF(26&lt;=$I$8, INDEX('Precios Diarios'!$F$2:$F$531, $G$8 - 1 + 26 - 1), NA())</f>
        <v/>
      </c>
    </row>
    <row r="28">
      <c r="P28" s="2">
        <f>IF(27&lt;=$I$8, INDEX('Precios Diarios'!$A$2:$A$531, $G$8 - 1 + 27 - 1), NA())</f>
        <v/>
      </c>
      <c r="Q28">
        <f>IF(27&lt;=$I$8, INDEX('Precios Diarios'!$E$2:$E$531, $G$8 - 1 + 27 - 1), NA())</f>
        <v/>
      </c>
      <c r="R28">
        <f>IF(27&lt;=$I$8, INDEX('Precios Diarios'!$F$2:$F$531, $G$8 - 1 + 27 - 1), NA())</f>
        <v/>
      </c>
    </row>
    <row r="29">
      <c r="P29" s="2">
        <f>IF(28&lt;=$I$8, INDEX('Precios Diarios'!$A$2:$A$531, $G$8 - 1 + 28 - 1), NA())</f>
        <v/>
      </c>
      <c r="Q29">
        <f>IF(28&lt;=$I$8, INDEX('Precios Diarios'!$E$2:$E$531, $G$8 - 1 + 28 - 1), NA())</f>
        <v/>
      </c>
      <c r="R29">
        <f>IF(28&lt;=$I$8, INDEX('Precios Diarios'!$F$2:$F$531, $G$8 - 1 + 28 - 1), NA())</f>
        <v/>
      </c>
    </row>
    <row r="30">
      <c r="P30" s="2">
        <f>IF(29&lt;=$I$8, INDEX('Precios Diarios'!$A$2:$A$531, $G$8 - 1 + 29 - 1), NA())</f>
        <v/>
      </c>
      <c r="Q30">
        <f>IF(29&lt;=$I$8, INDEX('Precios Diarios'!$E$2:$E$531, $G$8 - 1 + 29 - 1), NA())</f>
        <v/>
      </c>
      <c r="R30">
        <f>IF(29&lt;=$I$8, INDEX('Precios Diarios'!$F$2:$F$531, $G$8 - 1 + 29 - 1), NA())</f>
        <v/>
      </c>
    </row>
    <row r="31">
      <c r="P31" s="2">
        <f>IF(30&lt;=$I$8, INDEX('Precios Diarios'!$A$2:$A$531, $G$8 - 1 + 30 - 1), NA())</f>
        <v/>
      </c>
      <c r="Q31">
        <f>IF(30&lt;=$I$8, INDEX('Precios Diarios'!$E$2:$E$531, $G$8 - 1 + 30 - 1), NA())</f>
        <v/>
      </c>
      <c r="R31">
        <f>IF(30&lt;=$I$8, INDEX('Precios Diarios'!$F$2:$F$531, $G$8 - 1 + 30 - 1), NA())</f>
        <v/>
      </c>
    </row>
    <row r="32">
      <c r="P32" s="2">
        <f>IF(31&lt;=$I$8, INDEX('Precios Diarios'!$A$2:$A$531, $G$8 - 1 + 31 - 1), NA())</f>
        <v/>
      </c>
      <c r="Q32">
        <f>IF(31&lt;=$I$8, INDEX('Precios Diarios'!$E$2:$E$531, $G$8 - 1 + 31 - 1), NA())</f>
        <v/>
      </c>
      <c r="R32">
        <f>IF(31&lt;=$I$8, INDEX('Precios Diarios'!$F$2:$F$531, $G$8 - 1 + 31 - 1), NA())</f>
        <v/>
      </c>
    </row>
    <row r="33">
      <c r="P33" s="2">
        <f>IF(32&lt;=$I$8, INDEX('Precios Diarios'!$A$2:$A$531, $G$8 - 1 + 32 - 1), NA())</f>
        <v/>
      </c>
      <c r="Q33">
        <f>IF(32&lt;=$I$8, INDEX('Precios Diarios'!$E$2:$E$531, $G$8 - 1 + 32 - 1), NA())</f>
        <v/>
      </c>
      <c r="R33">
        <f>IF(32&lt;=$I$8, INDEX('Precios Diarios'!$F$2:$F$531, $G$8 - 1 + 32 - 1), NA())</f>
        <v/>
      </c>
    </row>
    <row r="34">
      <c r="P34" s="2">
        <f>IF(33&lt;=$I$8, INDEX('Precios Diarios'!$A$2:$A$531, $G$8 - 1 + 33 - 1), NA())</f>
        <v/>
      </c>
      <c r="Q34">
        <f>IF(33&lt;=$I$8, INDEX('Precios Diarios'!$E$2:$E$531, $G$8 - 1 + 33 - 1), NA())</f>
        <v/>
      </c>
      <c r="R34">
        <f>IF(33&lt;=$I$8, INDEX('Precios Diarios'!$F$2:$F$531, $G$8 - 1 + 33 - 1), NA())</f>
        <v/>
      </c>
    </row>
    <row r="35">
      <c r="P35" s="2">
        <f>IF(34&lt;=$I$8, INDEX('Precios Diarios'!$A$2:$A$531, $G$8 - 1 + 34 - 1), NA())</f>
        <v/>
      </c>
      <c r="Q35">
        <f>IF(34&lt;=$I$8, INDEX('Precios Diarios'!$E$2:$E$531, $G$8 - 1 + 34 - 1), NA())</f>
        <v/>
      </c>
      <c r="R35">
        <f>IF(34&lt;=$I$8, INDEX('Precios Diarios'!$F$2:$F$531, $G$8 - 1 + 34 - 1), NA())</f>
        <v/>
      </c>
    </row>
    <row r="36">
      <c r="P36" s="2">
        <f>IF(35&lt;=$I$8, INDEX('Precios Diarios'!$A$2:$A$531, $G$8 - 1 + 35 - 1), NA())</f>
        <v/>
      </c>
      <c r="Q36">
        <f>IF(35&lt;=$I$8, INDEX('Precios Diarios'!$E$2:$E$531, $G$8 - 1 + 35 - 1), NA())</f>
        <v/>
      </c>
      <c r="R36">
        <f>IF(35&lt;=$I$8, INDEX('Precios Diarios'!$F$2:$F$531, $G$8 - 1 + 35 - 1), NA())</f>
        <v/>
      </c>
    </row>
    <row r="37">
      <c r="P37" s="2">
        <f>IF(36&lt;=$I$8, INDEX('Precios Diarios'!$A$2:$A$531, $G$8 - 1 + 36 - 1), NA())</f>
        <v/>
      </c>
      <c r="Q37">
        <f>IF(36&lt;=$I$8, INDEX('Precios Diarios'!$E$2:$E$531, $G$8 - 1 + 36 - 1), NA())</f>
        <v/>
      </c>
      <c r="R37">
        <f>IF(36&lt;=$I$8, INDEX('Precios Diarios'!$F$2:$F$531, $G$8 - 1 + 36 - 1), NA())</f>
        <v/>
      </c>
    </row>
    <row r="38">
      <c r="P38" s="2">
        <f>IF(37&lt;=$I$8, INDEX('Precios Diarios'!$A$2:$A$531, $G$8 - 1 + 37 - 1), NA())</f>
        <v/>
      </c>
      <c r="Q38">
        <f>IF(37&lt;=$I$8, INDEX('Precios Diarios'!$E$2:$E$531, $G$8 - 1 + 37 - 1), NA())</f>
        <v/>
      </c>
      <c r="R38">
        <f>IF(37&lt;=$I$8, INDEX('Precios Diarios'!$F$2:$F$531, $G$8 - 1 + 37 - 1), NA())</f>
        <v/>
      </c>
    </row>
    <row r="39">
      <c r="P39" s="2">
        <f>IF(38&lt;=$I$8, INDEX('Precios Diarios'!$A$2:$A$531, $G$8 - 1 + 38 - 1), NA())</f>
        <v/>
      </c>
      <c r="Q39">
        <f>IF(38&lt;=$I$8, INDEX('Precios Diarios'!$E$2:$E$531, $G$8 - 1 + 38 - 1), NA())</f>
        <v/>
      </c>
      <c r="R39">
        <f>IF(38&lt;=$I$8, INDEX('Precios Diarios'!$F$2:$F$531, $G$8 - 1 + 38 - 1), NA())</f>
        <v/>
      </c>
    </row>
    <row r="40">
      <c r="P40" s="2">
        <f>IF(39&lt;=$I$8, INDEX('Precios Diarios'!$A$2:$A$531, $G$8 - 1 + 39 - 1), NA())</f>
        <v/>
      </c>
      <c r="Q40">
        <f>IF(39&lt;=$I$8, INDEX('Precios Diarios'!$E$2:$E$531, $G$8 - 1 + 39 - 1), NA())</f>
        <v/>
      </c>
      <c r="R40">
        <f>IF(39&lt;=$I$8, INDEX('Precios Diarios'!$F$2:$F$531, $G$8 - 1 + 39 - 1), NA())</f>
        <v/>
      </c>
    </row>
    <row r="41">
      <c r="P41" s="2">
        <f>IF(40&lt;=$I$8, INDEX('Precios Diarios'!$A$2:$A$531, $G$8 - 1 + 40 - 1), NA())</f>
        <v/>
      </c>
      <c r="Q41">
        <f>IF(40&lt;=$I$8, INDEX('Precios Diarios'!$E$2:$E$531, $G$8 - 1 + 40 - 1), NA())</f>
        <v/>
      </c>
      <c r="R41">
        <f>IF(40&lt;=$I$8, INDEX('Precios Diarios'!$F$2:$F$531, $G$8 - 1 + 40 - 1), NA())</f>
        <v/>
      </c>
    </row>
    <row r="42">
      <c r="P42" s="2">
        <f>IF(41&lt;=$I$8, INDEX('Precios Diarios'!$A$2:$A$531, $G$8 - 1 + 41 - 1), NA())</f>
        <v/>
      </c>
      <c r="Q42">
        <f>IF(41&lt;=$I$8, INDEX('Precios Diarios'!$E$2:$E$531, $G$8 - 1 + 41 - 1), NA())</f>
        <v/>
      </c>
      <c r="R42">
        <f>IF(41&lt;=$I$8, INDEX('Precios Diarios'!$F$2:$F$531, $G$8 - 1 + 41 - 1), NA())</f>
        <v/>
      </c>
    </row>
    <row r="43">
      <c r="P43" s="2">
        <f>IF(42&lt;=$I$8, INDEX('Precios Diarios'!$A$2:$A$531, $G$8 - 1 + 42 - 1), NA())</f>
        <v/>
      </c>
      <c r="Q43">
        <f>IF(42&lt;=$I$8, INDEX('Precios Diarios'!$E$2:$E$531, $G$8 - 1 + 42 - 1), NA())</f>
        <v/>
      </c>
      <c r="R43">
        <f>IF(42&lt;=$I$8, INDEX('Precios Diarios'!$F$2:$F$531, $G$8 - 1 + 42 - 1), NA())</f>
        <v/>
      </c>
    </row>
    <row r="44">
      <c r="P44" s="2">
        <f>IF(43&lt;=$I$8, INDEX('Precios Diarios'!$A$2:$A$531, $G$8 - 1 + 43 - 1), NA())</f>
        <v/>
      </c>
      <c r="Q44">
        <f>IF(43&lt;=$I$8, INDEX('Precios Diarios'!$E$2:$E$531, $G$8 - 1 + 43 - 1), NA())</f>
        <v/>
      </c>
      <c r="R44">
        <f>IF(43&lt;=$I$8, INDEX('Precios Diarios'!$F$2:$F$531, $G$8 - 1 + 43 - 1), NA())</f>
        <v/>
      </c>
    </row>
    <row r="45">
      <c r="P45" s="2">
        <f>IF(44&lt;=$I$8, INDEX('Precios Diarios'!$A$2:$A$531, $G$8 - 1 + 44 - 1), NA())</f>
        <v/>
      </c>
      <c r="Q45">
        <f>IF(44&lt;=$I$8, INDEX('Precios Diarios'!$E$2:$E$531, $G$8 - 1 + 44 - 1), NA())</f>
        <v/>
      </c>
      <c r="R45">
        <f>IF(44&lt;=$I$8, INDEX('Precios Diarios'!$F$2:$F$531, $G$8 - 1 + 44 - 1), NA())</f>
        <v/>
      </c>
    </row>
    <row r="46">
      <c r="P46" s="2">
        <f>IF(45&lt;=$I$8, INDEX('Precios Diarios'!$A$2:$A$531, $G$8 - 1 + 45 - 1), NA())</f>
        <v/>
      </c>
      <c r="Q46">
        <f>IF(45&lt;=$I$8, INDEX('Precios Diarios'!$E$2:$E$531, $G$8 - 1 + 45 - 1), NA())</f>
        <v/>
      </c>
      <c r="R46">
        <f>IF(45&lt;=$I$8, INDEX('Precios Diarios'!$F$2:$F$531, $G$8 - 1 + 45 - 1), NA())</f>
        <v/>
      </c>
    </row>
    <row r="47">
      <c r="P47" s="2">
        <f>IF(46&lt;=$I$8, INDEX('Precios Diarios'!$A$2:$A$531, $G$8 - 1 + 46 - 1), NA())</f>
        <v/>
      </c>
      <c r="Q47">
        <f>IF(46&lt;=$I$8, INDEX('Precios Diarios'!$E$2:$E$531, $G$8 - 1 + 46 - 1), NA())</f>
        <v/>
      </c>
      <c r="R47">
        <f>IF(46&lt;=$I$8, INDEX('Precios Diarios'!$F$2:$F$531, $G$8 - 1 + 46 - 1), NA())</f>
        <v/>
      </c>
    </row>
    <row r="48">
      <c r="P48" s="2">
        <f>IF(47&lt;=$I$8, INDEX('Precios Diarios'!$A$2:$A$531, $G$8 - 1 + 47 - 1), NA())</f>
        <v/>
      </c>
      <c r="Q48">
        <f>IF(47&lt;=$I$8, INDEX('Precios Diarios'!$E$2:$E$531, $G$8 - 1 + 47 - 1), NA())</f>
        <v/>
      </c>
      <c r="R48">
        <f>IF(47&lt;=$I$8, INDEX('Precios Diarios'!$F$2:$F$531, $G$8 - 1 + 47 - 1), NA())</f>
        <v/>
      </c>
    </row>
    <row r="49">
      <c r="P49" s="2">
        <f>IF(48&lt;=$I$8, INDEX('Precios Diarios'!$A$2:$A$531, $G$8 - 1 + 48 - 1), NA())</f>
        <v/>
      </c>
      <c r="Q49">
        <f>IF(48&lt;=$I$8, INDEX('Precios Diarios'!$E$2:$E$531, $G$8 - 1 + 48 - 1), NA())</f>
        <v/>
      </c>
      <c r="R49">
        <f>IF(48&lt;=$I$8, INDEX('Precios Diarios'!$F$2:$F$531, $G$8 - 1 + 48 - 1), NA())</f>
        <v/>
      </c>
    </row>
    <row r="50">
      <c r="P50" s="2">
        <f>IF(49&lt;=$I$8, INDEX('Precios Diarios'!$A$2:$A$531, $G$8 - 1 + 49 - 1), NA())</f>
        <v/>
      </c>
      <c r="Q50">
        <f>IF(49&lt;=$I$8, INDEX('Precios Diarios'!$E$2:$E$531, $G$8 - 1 + 49 - 1), NA())</f>
        <v/>
      </c>
      <c r="R50">
        <f>IF(49&lt;=$I$8, INDEX('Precios Diarios'!$F$2:$F$531, $G$8 - 1 + 49 - 1), NA())</f>
        <v/>
      </c>
    </row>
    <row r="51">
      <c r="P51" s="2">
        <f>IF(50&lt;=$I$8, INDEX('Precios Diarios'!$A$2:$A$531, $G$8 - 1 + 50 - 1), NA())</f>
        <v/>
      </c>
      <c r="Q51">
        <f>IF(50&lt;=$I$8, INDEX('Precios Diarios'!$E$2:$E$531, $G$8 - 1 + 50 - 1), NA())</f>
        <v/>
      </c>
      <c r="R51">
        <f>IF(50&lt;=$I$8, INDEX('Precios Diarios'!$F$2:$F$531, $G$8 - 1 + 50 - 1), NA())</f>
        <v/>
      </c>
    </row>
    <row r="52">
      <c r="P52" s="2">
        <f>IF(51&lt;=$I$8, INDEX('Precios Diarios'!$A$2:$A$531, $G$8 - 1 + 51 - 1), NA())</f>
        <v/>
      </c>
      <c r="Q52">
        <f>IF(51&lt;=$I$8, INDEX('Precios Diarios'!$E$2:$E$531, $G$8 - 1 + 51 - 1), NA())</f>
        <v/>
      </c>
      <c r="R52">
        <f>IF(51&lt;=$I$8, INDEX('Precios Diarios'!$F$2:$F$531, $G$8 - 1 + 51 - 1), NA())</f>
        <v/>
      </c>
    </row>
    <row r="53">
      <c r="P53" s="2">
        <f>IF(52&lt;=$I$8, INDEX('Precios Diarios'!$A$2:$A$531, $G$8 - 1 + 52 - 1), NA())</f>
        <v/>
      </c>
      <c r="Q53">
        <f>IF(52&lt;=$I$8, INDEX('Precios Diarios'!$E$2:$E$531, $G$8 - 1 + 52 - 1), NA())</f>
        <v/>
      </c>
      <c r="R53">
        <f>IF(52&lt;=$I$8, INDEX('Precios Diarios'!$F$2:$F$531, $G$8 - 1 + 52 - 1), NA())</f>
        <v/>
      </c>
    </row>
    <row r="54">
      <c r="P54" s="2">
        <f>IF(53&lt;=$I$8, INDEX('Precios Diarios'!$A$2:$A$531, $G$8 - 1 + 53 - 1), NA())</f>
        <v/>
      </c>
      <c r="Q54">
        <f>IF(53&lt;=$I$8, INDEX('Precios Diarios'!$E$2:$E$531, $G$8 - 1 + 53 - 1), NA())</f>
        <v/>
      </c>
      <c r="R54">
        <f>IF(53&lt;=$I$8, INDEX('Precios Diarios'!$F$2:$F$531, $G$8 - 1 + 53 - 1), NA())</f>
        <v/>
      </c>
    </row>
    <row r="55">
      <c r="P55" s="2">
        <f>IF(54&lt;=$I$8, INDEX('Precios Diarios'!$A$2:$A$531, $G$8 - 1 + 54 - 1), NA())</f>
        <v/>
      </c>
      <c r="Q55">
        <f>IF(54&lt;=$I$8, INDEX('Precios Diarios'!$E$2:$E$531, $G$8 - 1 + 54 - 1), NA())</f>
        <v/>
      </c>
      <c r="R55">
        <f>IF(54&lt;=$I$8, INDEX('Precios Diarios'!$F$2:$F$531, $G$8 - 1 + 54 - 1), NA())</f>
        <v/>
      </c>
    </row>
    <row r="56">
      <c r="P56" s="2">
        <f>IF(55&lt;=$I$8, INDEX('Precios Diarios'!$A$2:$A$531, $G$8 - 1 + 55 - 1), NA())</f>
        <v/>
      </c>
      <c r="Q56">
        <f>IF(55&lt;=$I$8, INDEX('Precios Diarios'!$E$2:$E$531, $G$8 - 1 + 55 - 1), NA())</f>
        <v/>
      </c>
      <c r="R56">
        <f>IF(55&lt;=$I$8, INDEX('Precios Diarios'!$F$2:$F$531, $G$8 - 1 + 55 - 1), NA())</f>
        <v/>
      </c>
    </row>
    <row r="57">
      <c r="P57" s="2">
        <f>IF(56&lt;=$I$8, INDEX('Precios Diarios'!$A$2:$A$531, $G$8 - 1 + 56 - 1), NA())</f>
        <v/>
      </c>
      <c r="Q57">
        <f>IF(56&lt;=$I$8, INDEX('Precios Diarios'!$E$2:$E$531, $G$8 - 1 + 56 - 1), NA())</f>
        <v/>
      </c>
      <c r="R57">
        <f>IF(56&lt;=$I$8, INDEX('Precios Diarios'!$F$2:$F$531, $G$8 - 1 + 56 - 1), NA())</f>
        <v/>
      </c>
    </row>
    <row r="58">
      <c r="P58" s="2">
        <f>IF(57&lt;=$I$8, INDEX('Precios Diarios'!$A$2:$A$531, $G$8 - 1 + 57 - 1), NA())</f>
        <v/>
      </c>
      <c r="Q58">
        <f>IF(57&lt;=$I$8, INDEX('Precios Diarios'!$E$2:$E$531, $G$8 - 1 + 57 - 1), NA())</f>
        <v/>
      </c>
      <c r="R58">
        <f>IF(57&lt;=$I$8, INDEX('Precios Diarios'!$F$2:$F$531, $G$8 - 1 + 57 - 1), NA())</f>
        <v/>
      </c>
    </row>
    <row r="59">
      <c r="P59" s="2">
        <f>IF(58&lt;=$I$8, INDEX('Precios Diarios'!$A$2:$A$531, $G$8 - 1 + 58 - 1), NA())</f>
        <v/>
      </c>
      <c r="Q59">
        <f>IF(58&lt;=$I$8, INDEX('Precios Diarios'!$E$2:$E$531, $G$8 - 1 + 58 - 1), NA())</f>
        <v/>
      </c>
      <c r="R59">
        <f>IF(58&lt;=$I$8, INDEX('Precios Diarios'!$F$2:$F$531, $G$8 - 1 + 58 - 1), NA())</f>
        <v/>
      </c>
    </row>
    <row r="60">
      <c r="P60" s="2">
        <f>IF(59&lt;=$I$8, INDEX('Precios Diarios'!$A$2:$A$531, $G$8 - 1 + 59 - 1), NA())</f>
        <v/>
      </c>
      <c r="Q60">
        <f>IF(59&lt;=$I$8, INDEX('Precios Diarios'!$E$2:$E$531, $G$8 - 1 + 59 - 1), NA())</f>
        <v/>
      </c>
      <c r="R60">
        <f>IF(59&lt;=$I$8, INDEX('Precios Diarios'!$F$2:$F$531, $G$8 - 1 + 59 - 1), NA())</f>
        <v/>
      </c>
    </row>
    <row r="61">
      <c r="P61" s="2">
        <f>IF(60&lt;=$I$8, INDEX('Precios Diarios'!$A$2:$A$531, $G$8 - 1 + 60 - 1), NA())</f>
        <v/>
      </c>
      <c r="Q61">
        <f>IF(60&lt;=$I$8, INDEX('Precios Diarios'!$E$2:$E$531, $G$8 - 1 + 60 - 1), NA())</f>
        <v/>
      </c>
      <c r="R61">
        <f>IF(60&lt;=$I$8, INDEX('Precios Diarios'!$F$2:$F$531, $G$8 - 1 + 60 - 1), NA())</f>
        <v/>
      </c>
    </row>
    <row r="62">
      <c r="P62" s="2">
        <f>IF(61&lt;=$I$8, INDEX('Precios Diarios'!$A$2:$A$531, $G$8 - 1 + 61 - 1), NA())</f>
        <v/>
      </c>
      <c r="Q62">
        <f>IF(61&lt;=$I$8, INDEX('Precios Diarios'!$E$2:$E$531, $G$8 - 1 + 61 - 1), NA())</f>
        <v/>
      </c>
      <c r="R62">
        <f>IF(61&lt;=$I$8, INDEX('Precios Diarios'!$F$2:$F$531, $G$8 - 1 + 61 - 1), NA())</f>
        <v/>
      </c>
    </row>
    <row r="63">
      <c r="P63" s="2">
        <f>IF(62&lt;=$I$8, INDEX('Precios Diarios'!$A$2:$A$531, $G$8 - 1 + 62 - 1), NA())</f>
        <v/>
      </c>
      <c r="Q63">
        <f>IF(62&lt;=$I$8, INDEX('Precios Diarios'!$E$2:$E$531, $G$8 - 1 + 62 - 1), NA())</f>
        <v/>
      </c>
      <c r="R63">
        <f>IF(62&lt;=$I$8, INDEX('Precios Diarios'!$F$2:$F$531, $G$8 - 1 + 62 - 1), NA())</f>
        <v/>
      </c>
    </row>
    <row r="64">
      <c r="P64" s="2">
        <f>IF(63&lt;=$I$8, INDEX('Precios Diarios'!$A$2:$A$531, $G$8 - 1 + 63 - 1), NA())</f>
        <v/>
      </c>
      <c r="Q64">
        <f>IF(63&lt;=$I$8, INDEX('Precios Diarios'!$E$2:$E$531, $G$8 - 1 + 63 - 1), NA())</f>
        <v/>
      </c>
      <c r="R64">
        <f>IF(63&lt;=$I$8, INDEX('Precios Diarios'!$F$2:$F$531, $G$8 - 1 + 63 - 1), NA())</f>
        <v/>
      </c>
    </row>
    <row r="65">
      <c r="P65" s="2">
        <f>IF(64&lt;=$I$8, INDEX('Precios Diarios'!$A$2:$A$531, $G$8 - 1 + 64 - 1), NA())</f>
        <v/>
      </c>
      <c r="Q65">
        <f>IF(64&lt;=$I$8, INDEX('Precios Diarios'!$E$2:$E$531, $G$8 - 1 + 64 - 1), NA())</f>
        <v/>
      </c>
      <c r="R65">
        <f>IF(64&lt;=$I$8, INDEX('Precios Diarios'!$F$2:$F$531, $G$8 - 1 + 64 - 1), NA())</f>
        <v/>
      </c>
    </row>
    <row r="66">
      <c r="P66" s="2">
        <f>IF(65&lt;=$I$8, INDEX('Precios Diarios'!$A$2:$A$531, $G$8 - 1 + 65 - 1), NA())</f>
        <v/>
      </c>
      <c r="Q66">
        <f>IF(65&lt;=$I$8, INDEX('Precios Diarios'!$E$2:$E$531, $G$8 - 1 + 65 - 1), NA())</f>
        <v/>
      </c>
      <c r="R66">
        <f>IF(65&lt;=$I$8, INDEX('Precios Diarios'!$F$2:$F$531, $G$8 - 1 + 65 - 1), NA())</f>
        <v/>
      </c>
    </row>
    <row r="67">
      <c r="P67" s="2">
        <f>IF(66&lt;=$I$8, INDEX('Precios Diarios'!$A$2:$A$531, $G$8 - 1 + 66 - 1), NA())</f>
        <v/>
      </c>
      <c r="Q67">
        <f>IF(66&lt;=$I$8, INDEX('Precios Diarios'!$E$2:$E$531, $G$8 - 1 + 66 - 1), NA())</f>
        <v/>
      </c>
      <c r="R67">
        <f>IF(66&lt;=$I$8, INDEX('Precios Diarios'!$F$2:$F$531, $G$8 - 1 + 66 - 1), NA())</f>
        <v/>
      </c>
    </row>
    <row r="68">
      <c r="P68" s="2">
        <f>IF(67&lt;=$I$8, INDEX('Precios Diarios'!$A$2:$A$531, $G$8 - 1 + 67 - 1), NA())</f>
        <v/>
      </c>
      <c r="Q68">
        <f>IF(67&lt;=$I$8, INDEX('Precios Diarios'!$E$2:$E$531, $G$8 - 1 + 67 - 1), NA())</f>
        <v/>
      </c>
      <c r="R68">
        <f>IF(67&lt;=$I$8, INDEX('Precios Diarios'!$F$2:$F$531, $G$8 - 1 + 67 - 1), NA())</f>
        <v/>
      </c>
    </row>
    <row r="69">
      <c r="P69" s="2">
        <f>IF(68&lt;=$I$8, INDEX('Precios Diarios'!$A$2:$A$531, $G$8 - 1 + 68 - 1), NA())</f>
        <v/>
      </c>
      <c r="Q69">
        <f>IF(68&lt;=$I$8, INDEX('Precios Diarios'!$E$2:$E$531, $G$8 - 1 + 68 - 1), NA())</f>
        <v/>
      </c>
      <c r="R69">
        <f>IF(68&lt;=$I$8, INDEX('Precios Diarios'!$F$2:$F$531, $G$8 - 1 + 68 - 1), NA())</f>
        <v/>
      </c>
    </row>
    <row r="70">
      <c r="P70" s="2">
        <f>IF(69&lt;=$I$8, INDEX('Precios Diarios'!$A$2:$A$531, $G$8 - 1 + 69 - 1), NA())</f>
        <v/>
      </c>
      <c r="Q70">
        <f>IF(69&lt;=$I$8, INDEX('Precios Diarios'!$E$2:$E$531, $G$8 - 1 + 69 - 1), NA())</f>
        <v/>
      </c>
      <c r="R70">
        <f>IF(69&lt;=$I$8, INDEX('Precios Diarios'!$F$2:$F$531, $G$8 - 1 + 69 - 1), NA())</f>
        <v/>
      </c>
    </row>
    <row r="71">
      <c r="P71" s="2">
        <f>IF(70&lt;=$I$8, INDEX('Precios Diarios'!$A$2:$A$531, $G$8 - 1 + 70 - 1), NA())</f>
        <v/>
      </c>
      <c r="Q71">
        <f>IF(70&lt;=$I$8, INDEX('Precios Diarios'!$E$2:$E$531, $G$8 - 1 + 70 - 1), NA())</f>
        <v/>
      </c>
      <c r="R71">
        <f>IF(70&lt;=$I$8, INDEX('Precios Diarios'!$F$2:$F$531, $G$8 - 1 + 70 - 1), NA())</f>
        <v/>
      </c>
    </row>
    <row r="72">
      <c r="P72" s="2">
        <f>IF(71&lt;=$I$8, INDEX('Precios Diarios'!$A$2:$A$531, $G$8 - 1 + 71 - 1), NA())</f>
        <v/>
      </c>
      <c r="Q72">
        <f>IF(71&lt;=$I$8, INDEX('Precios Diarios'!$E$2:$E$531, $G$8 - 1 + 71 - 1), NA())</f>
        <v/>
      </c>
      <c r="R72">
        <f>IF(71&lt;=$I$8, INDEX('Precios Diarios'!$F$2:$F$531, $G$8 - 1 + 71 - 1), NA())</f>
        <v/>
      </c>
    </row>
    <row r="73">
      <c r="P73" s="2">
        <f>IF(72&lt;=$I$8, INDEX('Precios Diarios'!$A$2:$A$531, $G$8 - 1 + 72 - 1), NA())</f>
        <v/>
      </c>
      <c r="Q73">
        <f>IF(72&lt;=$I$8, INDEX('Precios Diarios'!$E$2:$E$531, $G$8 - 1 + 72 - 1), NA())</f>
        <v/>
      </c>
      <c r="R73">
        <f>IF(72&lt;=$I$8, INDEX('Precios Diarios'!$F$2:$F$531, $G$8 - 1 + 72 - 1), NA())</f>
        <v/>
      </c>
    </row>
    <row r="74">
      <c r="P74" s="2">
        <f>IF(73&lt;=$I$8, INDEX('Precios Diarios'!$A$2:$A$531, $G$8 - 1 + 73 - 1), NA())</f>
        <v/>
      </c>
      <c r="Q74">
        <f>IF(73&lt;=$I$8, INDEX('Precios Diarios'!$E$2:$E$531, $G$8 - 1 + 73 - 1), NA())</f>
        <v/>
      </c>
      <c r="R74">
        <f>IF(73&lt;=$I$8, INDEX('Precios Diarios'!$F$2:$F$531, $G$8 - 1 + 73 - 1), NA())</f>
        <v/>
      </c>
    </row>
    <row r="75">
      <c r="P75" s="2">
        <f>IF(74&lt;=$I$8, INDEX('Precios Diarios'!$A$2:$A$531, $G$8 - 1 + 74 - 1), NA())</f>
        <v/>
      </c>
      <c r="Q75">
        <f>IF(74&lt;=$I$8, INDEX('Precios Diarios'!$E$2:$E$531, $G$8 - 1 + 74 - 1), NA())</f>
        <v/>
      </c>
      <c r="R75">
        <f>IF(74&lt;=$I$8, INDEX('Precios Diarios'!$F$2:$F$531, $G$8 - 1 + 74 - 1), NA())</f>
        <v/>
      </c>
    </row>
    <row r="76">
      <c r="P76" s="2">
        <f>IF(75&lt;=$I$8, INDEX('Precios Diarios'!$A$2:$A$531, $G$8 - 1 + 75 - 1), NA())</f>
        <v/>
      </c>
      <c r="Q76">
        <f>IF(75&lt;=$I$8, INDEX('Precios Diarios'!$E$2:$E$531, $G$8 - 1 + 75 - 1), NA())</f>
        <v/>
      </c>
      <c r="R76">
        <f>IF(75&lt;=$I$8, INDEX('Precios Diarios'!$F$2:$F$531, $G$8 - 1 + 75 - 1), NA())</f>
        <v/>
      </c>
    </row>
    <row r="77">
      <c r="P77" s="2">
        <f>IF(76&lt;=$I$8, INDEX('Precios Diarios'!$A$2:$A$531, $G$8 - 1 + 76 - 1), NA())</f>
        <v/>
      </c>
      <c r="Q77">
        <f>IF(76&lt;=$I$8, INDEX('Precios Diarios'!$E$2:$E$531, $G$8 - 1 + 76 - 1), NA())</f>
        <v/>
      </c>
      <c r="R77">
        <f>IF(76&lt;=$I$8, INDEX('Precios Diarios'!$F$2:$F$531, $G$8 - 1 + 76 - 1), NA())</f>
        <v/>
      </c>
    </row>
    <row r="78">
      <c r="P78" s="2">
        <f>IF(77&lt;=$I$8, INDEX('Precios Diarios'!$A$2:$A$531, $G$8 - 1 + 77 - 1), NA())</f>
        <v/>
      </c>
      <c r="Q78">
        <f>IF(77&lt;=$I$8, INDEX('Precios Diarios'!$E$2:$E$531, $G$8 - 1 + 77 - 1), NA())</f>
        <v/>
      </c>
      <c r="R78">
        <f>IF(77&lt;=$I$8, INDEX('Precios Diarios'!$F$2:$F$531, $G$8 - 1 + 77 - 1), NA())</f>
        <v/>
      </c>
    </row>
    <row r="79">
      <c r="P79" s="2">
        <f>IF(78&lt;=$I$8, INDEX('Precios Diarios'!$A$2:$A$531, $G$8 - 1 + 78 - 1), NA())</f>
        <v/>
      </c>
      <c r="Q79">
        <f>IF(78&lt;=$I$8, INDEX('Precios Diarios'!$E$2:$E$531, $G$8 - 1 + 78 - 1), NA())</f>
        <v/>
      </c>
      <c r="R79">
        <f>IF(78&lt;=$I$8, INDEX('Precios Diarios'!$F$2:$F$531, $G$8 - 1 + 78 - 1), NA())</f>
        <v/>
      </c>
    </row>
    <row r="80">
      <c r="P80" s="2">
        <f>IF(79&lt;=$I$8, INDEX('Precios Diarios'!$A$2:$A$531, $G$8 - 1 + 79 - 1), NA())</f>
        <v/>
      </c>
      <c r="Q80">
        <f>IF(79&lt;=$I$8, INDEX('Precios Diarios'!$E$2:$E$531, $G$8 - 1 + 79 - 1), NA())</f>
        <v/>
      </c>
      <c r="R80">
        <f>IF(79&lt;=$I$8, INDEX('Precios Diarios'!$F$2:$F$531, $G$8 - 1 + 79 - 1), NA())</f>
        <v/>
      </c>
    </row>
    <row r="81">
      <c r="P81" s="2">
        <f>IF(80&lt;=$I$8, INDEX('Precios Diarios'!$A$2:$A$531, $G$8 - 1 + 80 - 1), NA())</f>
        <v/>
      </c>
      <c r="Q81">
        <f>IF(80&lt;=$I$8, INDEX('Precios Diarios'!$E$2:$E$531, $G$8 - 1 + 80 - 1), NA())</f>
        <v/>
      </c>
      <c r="R81">
        <f>IF(80&lt;=$I$8, INDEX('Precios Diarios'!$F$2:$F$531, $G$8 - 1 + 80 - 1), NA())</f>
        <v/>
      </c>
    </row>
    <row r="82">
      <c r="P82" s="2">
        <f>IF(81&lt;=$I$8, INDEX('Precios Diarios'!$A$2:$A$531, $G$8 - 1 + 81 - 1), NA())</f>
        <v/>
      </c>
      <c r="Q82">
        <f>IF(81&lt;=$I$8, INDEX('Precios Diarios'!$E$2:$E$531, $G$8 - 1 + 81 - 1), NA())</f>
        <v/>
      </c>
      <c r="R82">
        <f>IF(81&lt;=$I$8, INDEX('Precios Diarios'!$F$2:$F$531, $G$8 - 1 + 81 - 1), NA())</f>
        <v/>
      </c>
    </row>
    <row r="83">
      <c r="P83" s="2">
        <f>IF(82&lt;=$I$8, INDEX('Precios Diarios'!$A$2:$A$531, $G$8 - 1 + 82 - 1), NA())</f>
        <v/>
      </c>
      <c r="Q83">
        <f>IF(82&lt;=$I$8, INDEX('Precios Diarios'!$E$2:$E$531, $G$8 - 1 + 82 - 1), NA())</f>
        <v/>
      </c>
      <c r="R83">
        <f>IF(82&lt;=$I$8, INDEX('Precios Diarios'!$F$2:$F$531, $G$8 - 1 + 82 - 1), NA())</f>
        <v/>
      </c>
    </row>
    <row r="84">
      <c r="P84" s="2">
        <f>IF(83&lt;=$I$8, INDEX('Precios Diarios'!$A$2:$A$531, $G$8 - 1 + 83 - 1), NA())</f>
        <v/>
      </c>
      <c r="Q84">
        <f>IF(83&lt;=$I$8, INDEX('Precios Diarios'!$E$2:$E$531, $G$8 - 1 + 83 - 1), NA())</f>
        <v/>
      </c>
      <c r="R84">
        <f>IF(83&lt;=$I$8, INDEX('Precios Diarios'!$F$2:$F$531, $G$8 - 1 + 83 - 1), NA())</f>
        <v/>
      </c>
    </row>
    <row r="85">
      <c r="P85" s="2">
        <f>IF(84&lt;=$I$8, INDEX('Precios Diarios'!$A$2:$A$531, $G$8 - 1 + 84 - 1), NA())</f>
        <v/>
      </c>
      <c r="Q85">
        <f>IF(84&lt;=$I$8, INDEX('Precios Diarios'!$E$2:$E$531, $G$8 - 1 + 84 - 1), NA())</f>
        <v/>
      </c>
      <c r="R85">
        <f>IF(84&lt;=$I$8, INDEX('Precios Diarios'!$F$2:$F$531, $G$8 - 1 + 84 - 1), NA())</f>
        <v/>
      </c>
    </row>
    <row r="86">
      <c r="P86" s="2">
        <f>IF(85&lt;=$I$8, INDEX('Precios Diarios'!$A$2:$A$531, $G$8 - 1 + 85 - 1), NA())</f>
        <v/>
      </c>
      <c r="Q86">
        <f>IF(85&lt;=$I$8, INDEX('Precios Diarios'!$E$2:$E$531, $G$8 - 1 + 85 - 1), NA())</f>
        <v/>
      </c>
      <c r="R86">
        <f>IF(85&lt;=$I$8, INDEX('Precios Diarios'!$F$2:$F$531, $G$8 - 1 + 85 - 1), NA())</f>
        <v/>
      </c>
    </row>
    <row r="87">
      <c r="P87" s="2">
        <f>IF(86&lt;=$I$8, INDEX('Precios Diarios'!$A$2:$A$531, $G$8 - 1 + 86 - 1), NA())</f>
        <v/>
      </c>
      <c r="Q87">
        <f>IF(86&lt;=$I$8, INDEX('Precios Diarios'!$E$2:$E$531, $G$8 - 1 + 86 - 1), NA())</f>
        <v/>
      </c>
      <c r="R87">
        <f>IF(86&lt;=$I$8, INDEX('Precios Diarios'!$F$2:$F$531, $G$8 - 1 + 86 - 1), NA())</f>
        <v/>
      </c>
    </row>
    <row r="88">
      <c r="P88" s="2">
        <f>IF(87&lt;=$I$8, INDEX('Precios Diarios'!$A$2:$A$531, $G$8 - 1 + 87 - 1), NA())</f>
        <v/>
      </c>
      <c r="Q88">
        <f>IF(87&lt;=$I$8, INDEX('Precios Diarios'!$E$2:$E$531, $G$8 - 1 + 87 - 1), NA())</f>
        <v/>
      </c>
      <c r="R88">
        <f>IF(87&lt;=$I$8, INDEX('Precios Diarios'!$F$2:$F$531, $G$8 - 1 + 87 - 1), NA())</f>
        <v/>
      </c>
    </row>
    <row r="89">
      <c r="P89" s="2">
        <f>IF(88&lt;=$I$8, INDEX('Precios Diarios'!$A$2:$A$531, $G$8 - 1 + 88 - 1), NA())</f>
        <v/>
      </c>
      <c r="Q89">
        <f>IF(88&lt;=$I$8, INDEX('Precios Diarios'!$E$2:$E$531, $G$8 - 1 + 88 - 1), NA())</f>
        <v/>
      </c>
      <c r="R89">
        <f>IF(88&lt;=$I$8, INDEX('Precios Diarios'!$F$2:$F$531, $G$8 - 1 + 88 - 1), NA())</f>
        <v/>
      </c>
    </row>
    <row r="90">
      <c r="P90" s="2">
        <f>IF(89&lt;=$I$8, INDEX('Precios Diarios'!$A$2:$A$531, $G$8 - 1 + 89 - 1), NA())</f>
        <v/>
      </c>
      <c r="Q90">
        <f>IF(89&lt;=$I$8, INDEX('Precios Diarios'!$E$2:$E$531, $G$8 - 1 + 89 - 1), NA())</f>
        <v/>
      </c>
      <c r="R90">
        <f>IF(89&lt;=$I$8, INDEX('Precios Diarios'!$F$2:$F$531, $G$8 - 1 + 89 - 1), NA())</f>
        <v/>
      </c>
    </row>
    <row r="91">
      <c r="P91" s="2">
        <f>IF(90&lt;=$I$8, INDEX('Precios Diarios'!$A$2:$A$531, $G$8 - 1 + 90 - 1), NA())</f>
        <v/>
      </c>
      <c r="Q91">
        <f>IF(90&lt;=$I$8, INDEX('Precios Diarios'!$E$2:$E$531, $G$8 - 1 + 90 - 1), NA())</f>
        <v/>
      </c>
      <c r="R91">
        <f>IF(90&lt;=$I$8, INDEX('Precios Diarios'!$F$2:$F$531, $G$8 - 1 + 90 - 1), NA())</f>
        <v/>
      </c>
    </row>
    <row r="92">
      <c r="P92" s="2">
        <f>IF(91&lt;=$I$8, INDEX('Precios Diarios'!$A$2:$A$531, $G$8 - 1 + 91 - 1), NA())</f>
        <v/>
      </c>
      <c r="Q92">
        <f>IF(91&lt;=$I$8, INDEX('Precios Diarios'!$E$2:$E$531, $G$8 - 1 + 91 - 1), NA())</f>
        <v/>
      </c>
      <c r="R92">
        <f>IF(91&lt;=$I$8, INDEX('Precios Diarios'!$F$2:$F$531, $G$8 - 1 + 91 - 1), NA())</f>
        <v/>
      </c>
    </row>
    <row r="93">
      <c r="P93" s="2">
        <f>IF(92&lt;=$I$8, INDEX('Precios Diarios'!$A$2:$A$531, $G$8 - 1 + 92 - 1), NA())</f>
        <v/>
      </c>
      <c r="Q93">
        <f>IF(92&lt;=$I$8, INDEX('Precios Diarios'!$E$2:$E$531, $G$8 - 1 + 92 - 1), NA())</f>
        <v/>
      </c>
      <c r="R93">
        <f>IF(92&lt;=$I$8, INDEX('Precios Diarios'!$F$2:$F$531, $G$8 - 1 + 92 - 1), NA())</f>
        <v/>
      </c>
    </row>
    <row r="94">
      <c r="P94" s="2">
        <f>IF(93&lt;=$I$8, INDEX('Precios Diarios'!$A$2:$A$531, $G$8 - 1 + 93 - 1), NA())</f>
        <v/>
      </c>
      <c r="Q94">
        <f>IF(93&lt;=$I$8, INDEX('Precios Diarios'!$E$2:$E$531, $G$8 - 1 + 93 - 1), NA())</f>
        <v/>
      </c>
      <c r="R94">
        <f>IF(93&lt;=$I$8, INDEX('Precios Diarios'!$F$2:$F$531, $G$8 - 1 + 93 - 1), NA())</f>
        <v/>
      </c>
    </row>
    <row r="95">
      <c r="P95" s="2">
        <f>IF(94&lt;=$I$8, INDEX('Precios Diarios'!$A$2:$A$531, $G$8 - 1 + 94 - 1), NA())</f>
        <v/>
      </c>
      <c r="Q95">
        <f>IF(94&lt;=$I$8, INDEX('Precios Diarios'!$E$2:$E$531, $G$8 - 1 + 94 - 1), NA())</f>
        <v/>
      </c>
      <c r="R95">
        <f>IF(94&lt;=$I$8, INDEX('Precios Diarios'!$F$2:$F$531, $G$8 - 1 + 94 - 1), NA())</f>
        <v/>
      </c>
    </row>
    <row r="96">
      <c r="P96" s="2">
        <f>IF(95&lt;=$I$8, INDEX('Precios Diarios'!$A$2:$A$531, $G$8 - 1 + 95 - 1), NA())</f>
        <v/>
      </c>
      <c r="Q96">
        <f>IF(95&lt;=$I$8, INDEX('Precios Diarios'!$E$2:$E$531, $G$8 - 1 + 95 - 1), NA())</f>
        <v/>
      </c>
      <c r="R96">
        <f>IF(95&lt;=$I$8, INDEX('Precios Diarios'!$F$2:$F$531, $G$8 - 1 + 95 - 1), NA())</f>
        <v/>
      </c>
    </row>
    <row r="97">
      <c r="P97" s="2">
        <f>IF(96&lt;=$I$8, INDEX('Precios Diarios'!$A$2:$A$531, $G$8 - 1 + 96 - 1), NA())</f>
        <v/>
      </c>
      <c r="Q97">
        <f>IF(96&lt;=$I$8, INDEX('Precios Diarios'!$E$2:$E$531, $G$8 - 1 + 96 - 1), NA())</f>
        <v/>
      </c>
      <c r="R97">
        <f>IF(96&lt;=$I$8, INDEX('Precios Diarios'!$F$2:$F$531, $G$8 - 1 + 96 - 1), NA())</f>
        <v/>
      </c>
    </row>
    <row r="98">
      <c r="P98" s="2">
        <f>IF(97&lt;=$I$8, INDEX('Precios Diarios'!$A$2:$A$531, $G$8 - 1 + 97 - 1), NA())</f>
        <v/>
      </c>
      <c r="Q98">
        <f>IF(97&lt;=$I$8, INDEX('Precios Diarios'!$E$2:$E$531, $G$8 - 1 + 97 - 1), NA())</f>
        <v/>
      </c>
      <c r="R98">
        <f>IF(97&lt;=$I$8, INDEX('Precios Diarios'!$F$2:$F$531, $G$8 - 1 + 97 - 1), NA())</f>
        <v/>
      </c>
    </row>
    <row r="99">
      <c r="P99" s="2">
        <f>IF(98&lt;=$I$8, INDEX('Precios Diarios'!$A$2:$A$531, $G$8 - 1 + 98 - 1), NA())</f>
        <v/>
      </c>
      <c r="Q99">
        <f>IF(98&lt;=$I$8, INDEX('Precios Diarios'!$E$2:$E$531, $G$8 - 1 + 98 - 1), NA())</f>
        <v/>
      </c>
      <c r="R99">
        <f>IF(98&lt;=$I$8, INDEX('Precios Diarios'!$F$2:$F$531, $G$8 - 1 + 98 - 1), NA())</f>
        <v/>
      </c>
    </row>
    <row r="100">
      <c r="P100" s="2">
        <f>IF(99&lt;=$I$8, INDEX('Precios Diarios'!$A$2:$A$531, $G$8 - 1 + 99 - 1), NA())</f>
        <v/>
      </c>
      <c r="Q100">
        <f>IF(99&lt;=$I$8, INDEX('Precios Diarios'!$E$2:$E$531, $G$8 - 1 + 99 - 1), NA())</f>
        <v/>
      </c>
      <c r="R100">
        <f>IF(99&lt;=$I$8, INDEX('Precios Diarios'!$F$2:$F$531, $G$8 - 1 + 99 - 1), NA())</f>
        <v/>
      </c>
    </row>
    <row r="101">
      <c r="P101" s="2">
        <f>IF(100&lt;=$I$8, INDEX('Precios Diarios'!$A$2:$A$531, $G$8 - 1 + 100 - 1), NA())</f>
        <v/>
      </c>
      <c r="Q101">
        <f>IF(100&lt;=$I$8, INDEX('Precios Diarios'!$E$2:$E$531, $G$8 - 1 + 100 - 1), NA())</f>
        <v/>
      </c>
      <c r="R101">
        <f>IF(100&lt;=$I$8, INDEX('Precios Diarios'!$F$2:$F$531, $G$8 - 1 + 100 - 1), NA())</f>
        <v/>
      </c>
    </row>
    <row r="102">
      <c r="P102" s="2">
        <f>IF(101&lt;=$I$8, INDEX('Precios Diarios'!$A$2:$A$531, $G$8 - 1 + 101 - 1), NA())</f>
        <v/>
      </c>
      <c r="Q102">
        <f>IF(101&lt;=$I$8, INDEX('Precios Diarios'!$E$2:$E$531, $G$8 - 1 + 101 - 1), NA())</f>
        <v/>
      </c>
      <c r="R102">
        <f>IF(101&lt;=$I$8, INDEX('Precios Diarios'!$F$2:$F$531, $G$8 - 1 + 101 - 1), NA())</f>
        <v/>
      </c>
    </row>
    <row r="103">
      <c r="P103" s="2">
        <f>IF(102&lt;=$I$8, INDEX('Precios Diarios'!$A$2:$A$531, $G$8 - 1 + 102 - 1), NA())</f>
        <v/>
      </c>
      <c r="Q103">
        <f>IF(102&lt;=$I$8, INDEX('Precios Diarios'!$E$2:$E$531, $G$8 - 1 + 102 - 1), NA())</f>
        <v/>
      </c>
      <c r="R103">
        <f>IF(102&lt;=$I$8, INDEX('Precios Diarios'!$F$2:$F$531, $G$8 - 1 + 102 - 1), NA())</f>
        <v/>
      </c>
    </row>
    <row r="104">
      <c r="P104" s="2">
        <f>IF(103&lt;=$I$8, INDEX('Precios Diarios'!$A$2:$A$531, $G$8 - 1 + 103 - 1), NA())</f>
        <v/>
      </c>
      <c r="Q104">
        <f>IF(103&lt;=$I$8, INDEX('Precios Diarios'!$E$2:$E$531, $G$8 - 1 + 103 - 1), NA())</f>
        <v/>
      </c>
      <c r="R104">
        <f>IF(103&lt;=$I$8, INDEX('Precios Diarios'!$F$2:$F$531, $G$8 - 1 + 103 - 1), NA())</f>
        <v/>
      </c>
    </row>
    <row r="105">
      <c r="P105" s="2">
        <f>IF(104&lt;=$I$8, INDEX('Precios Diarios'!$A$2:$A$531, $G$8 - 1 + 104 - 1), NA())</f>
        <v/>
      </c>
      <c r="Q105">
        <f>IF(104&lt;=$I$8, INDEX('Precios Diarios'!$E$2:$E$531, $G$8 - 1 + 104 - 1), NA())</f>
        <v/>
      </c>
      <c r="R105">
        <f>IF(104&lt;=$I$8, INDEX('Precios Diarios'!$F$2:$F$531, $G$8 - 1 + 104 - 1), NA())</f>
        <v/>
      </c>
    </row>
    <row r="106">
      <c r="P106" s="2">
        <f>IF(105&lt;=$I$8, INDEX('Precios Diarios'!$A$2:$A$531, $G$8 - 1 + 105 - 1), NA())</f>
        <v/>
      </c>
      <c r="Q106">
        <f>IF(105&lt;=$I$8, INDEX('Precios Diarios'!$E$2:$E$531, $G$8 - 1 + 105 - 1), NA())</f>
        <v/>
      </c>
      <c r="R106">
        <f>IF(105&lt;=$I$8, INDEX('Precios Diarios'!$F$2:$F$531, $G$8 - 1 + 105 - 1), NA())</f>
        <v/>
      </c>
    </row>
    <row r="107">
      <c r="P107" s="2">
        <f>IF(106&lt;=$I$8, INDEX('Precios Diarios'!$A$2:$A$531, $G$8 - 1 + 106 - 1), NA())</f>
        <v/>
      </c>
      <c r="Q107">
        <f>IF(106&lt;=$I$8, INDEX('Precios Diarios'!$E$2:$E$531, $G$8 - 1 + 106 - 1), NA())</f>
        <v/>
      </c>
      <c r="R107">
        <f>IF(106&lt;=$I$8, INDEX('Precios Diarios'!$F$2:$F$531, $G$8 - 1 + 106 - 1), NA())</f>
        <v/>
      </c>
    </row>
    <row r="108">
      <c r="P108" s="2">
        <f>IF(107&lt;=$I$8, INDEX('Precios Diarios'!$A$2:$A$531, $G$8 - 1 + 107 - 1), NA())</f>
        <v/>
      </c>
      <c r="Q108">
        <f>IF(107&lt;=$I$8, INDEX('Precios Diarios'!$E$2:$E$531, $G$8 - 1 + 107 - 1), NA())</f>
        <v/>
      </c>
      <c r="R108">
        <f>IF(107&lt;=$I$8, INDEX('Precios Diarios'!$F$2:$F$531, $G$8 - 1 + 107 - 1), NA())</f>
        <v/>
      </c>
    </row>
    <row r="109">
      <c r="P109" s="2">
        <f>IF(108&lt;=$I$8, INDEX('Precios Diarios'!$A$2:$A$531, $G$8 - 1 + 108 - 1), NA())</f>
        <v/>
      </c>
      <c r="Q109">
        <f>IF(108&lt;=$I$8, INDEX('Precios Diarios'!$E$2:$E$531, $G$8 - 1 + 108 - 1), NA())</f>
        <v/>
      </c>
      <c r="R109">
        <f>IF(108&lt;=$I$8, INDEX('Precios Diarios'!$F$2:$F$531, $G$8 - 1 + 108 - 1), NA())</f>
        <v/>
      </c>
    </row>
    <row r="110">
      <c r="P110" s="2">
        <f>IF(109&lt;=$I$8, INDEX('Precios Diarios'!$A$2:$A$531, $G$8 - 1 + 109 - 1), NA())</f>
        <v/>
      </c>
      <c r="Q110">
        <f>IF(109&lt;=$I$8, INDEX('Precios Diarios'!$E$2:$E$531, $G$8 - 1 + 109 - 1), NA())</f>
        <v/>
      </c>
      <c r="R110">
        <f>IF(109&lt;=$I$8, INDEX('Precios Diarios'!$F$2:$F$531, $G$8 - 1 + 109 - 1), NA())</f>
        <v/>
      </c>
    </row>
    <row r="111">
      <c r="P111" s="2">
        <f>IF(110&lt;=$I$8, INDEX('Precios Diarios'!$A$2:$A$531, $G$8 - 1 + 110 - 1), NA())</f>
        <v/>
      </c>
      <c r="Q111">
        <f>IF(110&lt;=$I$8, INDEX('Precios Diarios'!$E$2:$E$531, $G$8 - 1 + 110 - 1), NA())</f>
        <v/>
      </c>
      <c r="R111">
        <f>IF(110&lt;=$I$8, INDEX('Precios Diarios'!$F$2:$F$531, $G$8 - 1 + 110 - 1), NA())</f>
        <v/>
      </c>
    </row>
    <row r="112">
      <c r="P112" s="2">
        <f>IF(111&lt;=$I$8, INDEX('Precios Diarios'!$A$2:$A$531, $G$8 - 1 + 111 - 1), NA())</f>
        <v/>
      </c>
      <c r="Q112">
        <f>IF(111&lt;=$I$8, INDEX('Precios Diarios'!$E$2:$E$531, $G$8 - 1 + 111 - 1), NA())</f>
        <v/>
      </c>
      <c r="R112">
        <f>IF(111&lt;=$I$8, INDEX('Precios Diarios'!$F$2:$F$531, $G$8 - 1 + 111 - 1), NA())</f>
        <v/>
      </c>
    </row>
    <row r="113">
      <c r="P113" s="2">
        <f>IF(112&lt;=$I$8, INDEX('Precios Diarios'!$A$2:$A$531, $G$8 - 1 + 112 - 1), NA())</f>
        <v/>
      </c>
      <c r="Q113">
        <f>IF(112&lt;=$I$8, INDEX('Precios Diarios'!$E$2:$E$531, $G$8 - 1 + 112 - 1), NA())</f>
        <v/>
      </c>
      <c r="R113">
        <f>IF(112&lt;=$I$8, INDEX('Precios Diarios'!$F$2:$F$531, $G$8 - 1 + 112 - 1), NA())</f>
        <v/>
      </c>
    </row>
    <row r="114">
      <c r="P114" s="2">
        <f>IF(113&lt;=$I$8, INDEX('Precios Diarios'!$A$2:$A$531, $G$8 - 1 + 113 - 1), NA())</f>
        <v/>
      </c>
      <c r="Q114">
        <f>IF(113&lt;=$I$8, INDEX('Precios Diarios'!$E$2:$E$531, $G$8 - 1 + 113 - 1), NA())</f>
        <v/>
      </c>
      <c r="R114">
        <f>IF(113&lt;=$I$8, INDEX('Precios Diarios'!$F$2:$F$531, $G$8 - 1 + 113 - 1), NA())</f>
        <v/>
      </c>
    </row>
    <row r="115">
      <c r="P115" s="2">
        <f>IF(114&lt;=$I$8, INDEX('Precios Diarios'!$A$2:$A$531, $G$8 - 1 + 114 - 1), NA())</f>
        <v/>
      </c>
      <c r="Q115">
        <f>IF(114&lt;=$I$8, INDEX('Precios Diarios'!$E$2:$E$531, $G$8 - 1 + 114 - 1), NA())</f>
        <v/>
      </c>
      <c r="R115">
        <f>IF(114&lt;=$I$8, INDEX('Precios Diarios'!$F$2:$F$531, $G$8 - 1 + 114 - 1), NA())</f>
        <v/>
      </c>
    </row>
    <row r="116">
      <c r="P116" s="2">
        <f>IF(115&lt;=$I$8, INDEX('Precios Diarios'!$A$2:$A$531, $G$8 - 1 + 115 - 1), NA())</f>
        <v/>
      </c>
      <c r="Q116">
        <f>IF(115&lt;=$I$8, INDEX('Precios Diarios'!$E$2:$E$531, $G$8 - 1 + 115 - 1), NA())</f>
        <v/>
      </c>
      <c r="R116">
        <f>IF(115&lt;=$I$8, INDEX('Precios Diarios'!$F$2:$F$531, $G$8 - 1 + 115 - 1), NA())</f>
        <v/>
      </c>
    </row>
    <row r="117">
      <c r="P117" s="2">
        <f>IF(116&lt;=$I$8, INDEX('Precios Diarios'!$A$2:$A$531, $G$8 - 1 + 116 - 1), NA())</f>
        <v/>
      </c>
      <c r="Q117">
        <f>IF(116&lt;=$I$8, INDEX('Precios Diarios'!$E$2:$E$531, $G$8 - 1 + 116 - 1), NA())</f>
        <v/>
      </c>
      <c r="R117">
        <f>IF(116&lt;=$I$8, INDEX('Precios Diarios'!$F$2:$F$531, $G$8 - 1 + 116 - 1), NA())</f>
        <v/>
      </c>
    </row>
    <row r="118">
      <c r="P118" s="2">
        <f>IF(117&lt;=$I$8, INDEX('Precios Diarios'!$A$2:$A$531, $G$8 - 1 + 117 - 1), NA())</f>
        <v/>
      </c>
      <c r="Q118">
        <f>IF(117&lt;=$I$8, INDEX('Precios Diarios'!$E$2:$E$531, $G$8 - 1 + 117 - 1), NA())</f>
        <v/>
      </c>
      <c r="R118">
        <f>IF(117&lt;=$I$8, INDEX('Precios Diarios'!$F$2:$F$531, $G$8 - 1 + 117 - 1), NA())</f>
        <v/>
      </c>
    </row>
    <row r="119">
      <c r="P119" s="2">
        <f>IF(118&lt;=$I$8, INDEX('Precios Diarios'!$A$2:$A$531, $G$8 - 1 + 118 - 1), NA())</f>
        <v/>
      </c>
      <c r="Q119">
        <f>IF(118&lt;=$I$8, INDEX('Precios Diarios'!$E$2:$E$531, $G$8 - 1 + 118 - 1), NA())</f>
        <v/>
      </c>
      <c r="R119">
        <f>IF(118&lt;=$I$8, INDEX('Precios Diarios'!$F$2:$F$531, $G$8 - 1 + 118 - 1), NA())</f>
        <v/>
      </c>
    </row>
    <row r="120">
      <c r="P120" s="2">
        <f>IF(119&lt;=$I$8, INDEX('Precios Diarios'!$A$2:$A$531, $G$8 - 1 + 119 - 1), NA())</f>
        <v/>
      </c>
      <c r="Q120">
        <f>IF(119&lt;=$I$8, INDEX('Precios Diarios'!$E$2:$E$531, $G$8 - 1 + 119 - 1), NA())</f>
        <v/>
      </c>
      <c r="R120">
        <f>IF(119&lt;=$I$8, INDEX('Precios Diarios'!$F$2:$F$531, $G$8 - 1 + 119 - 1), NA())</f>
        <v/>
      </c>
    </row>
    <row r="121">
      <c r="P121" s="2">
        <f>IF(120&lt;=$I$8, INDEX('Precios Diarios'!$A$2:$A$531, $G$8 - 1 + 120 - 1), NA())</f>
        <v/>
      </c>
      <c r="Q121">
        <f>IF(120&lt;=$I$8, INDEX('Precios Diarios'!$E$2:$E$531, $G$8 - 1 + 120 - 1), NA())</f>
        <v/>
      </c>
      <c r="R121">
        <f>IF(120&lt;=$I$8, INDEX('Precios Diarios'!$F$2:$F$531, $G$8 - 1 + 120 - 1), NA())</f>
        <v/>
      </c>
    </row>
    <row r="122">
      <c r="P122" s="2">
        <f>IF(121&lt;=$I$8, INDEX('Precios Diarios'!$A$2:$A$531, $G$8 - 1 + 121 - 1), NA())</f>
        <v/>
      </c>
      <c r="Q122">
        <f>IF(121&lt;=$I$8, INDEX('Precios Diarios'!$E$2:$E$531, $G$8 - 1 + 121 - 1), NA())</f>
        <v/>
      </c>
      <c r="R122">
        <f>IF(121&lt;=$I$8, INDEX('Precios Diarios'!$F$2:$F$531, $G$8 - 1 + 121 - 1), NA())</f>
        <v/>
      </c>
    </row>
    <row r="123">
      <c r="P123" s="2">
        <f>IF(122&lt;=$I$8, INDEX('Precios Diarios'!$A$2:$A$531, $G$8 - 1 + 122 - 1), NA())</f>
        <v/>
      </c>
      <c r="Q123">
        <f>IF(122&lt;=$I$8, INDEX('Precios Diarios'!$E$2:$E$531, $G$8 - 1 + 122 - 1), NA())</f>
        <v/>
      </c>
      <c r="R123">
        <f>IF(122&lt;=$I$8, INDEX('Precios Diarios'!$F$2:$F$531, $G$8 - 1 + 122 - 1), NA())</f>
        <v/>
      </c>
    </row>
    <row r="124">
      <c r="P124" s="2">
        <f>IF(123&lt;=$I$8, INDEX('Precios Diarios'!$A$2:$A$531, $G$8 - 1 + 123 - 1), NA())</f>
        <v/>
      </c>
      <c r="Q124">
        <f>IF(123&lt;=$I$8, INDEX('Precios Diarios'!$E$2:$E$531, $G$8 - 1 + 123 - 1), NA())</f>
        <v/>
      </c>
      <c r="R124">
        <f>IF(123&lt;=$I$8, INDEX('Precios Diarios'!$F$2:$F$531, $G$8 - 1 + 123 - 1), NA())</f>
        <v/>
      </c>
    </row>
    <row r="125">
      <c r="P125" s="2">
        <f>IF(124&lt;=$I$8, INDEX('Precios Diarios'!$A$2:$A$531, $G$8 - 1 + 124 - 1), NA())</f>
        <v/>
      </c>
      <c r="Q125">
        <f>IF(124&lt;=$I$8, INDEX('Precios Diarios'!$E$2:$E$531, $G$8 - 1 + 124 - 1), NA())</f>
        <v/>
      </c>
      <c r="R125">
        <f>IF(124&lt;=$I$8, INDEX('Precios Diarios'!$F$2:$F$531, $G$8 - 1 + 124 - 1), NA())</f>
        <v/>
      </c>
    </row>
    <row r="126">
      <c r="P126" s="2">
        <f>IF(125&lt;=$I$8, INDEX('Precios Diarios'!$A$2:$A$531, $G$8 - 1 + 125 - 1), NA())</f>
        <v/>
      </c>
      <c r="Q126">
        <f>IF(125&lt;=$I$8, INDEX('Precios Diarios'!$E$2:$E$531, $G$8 - 1 + 125 - 1), NA())</f>
        <v/>
      </c>
      <c r="R126">
        <f>IF(125&lt;=$I$8, INDEX('Precios Diarios'!$F$2:$F$531, $G$8 - 1 + 125 - 1), NA())</f>
        <v/>
      </c>
    </row>
    <row r="127">
      <c r="P127" s="2">
        <f>IF(126&lt;=$I$8, INDEX('Precios Diarios'!$A$2:$A$531, $G$8 - 1 + 126 - 1), NA())</f>
        <v/>
      </c>
      <c r="Q127">
        <f>IF(126&lt;=$I$8, INDEX('Precios Diarios'!$E$2:$E$531, $G$8 - 1 + 126 - 1), NA())</f>
        <v/>
      </c>
      <c r="R127">
        <f>IF(126&lt;=$I$8, INDEX('Precios Diarios'!$F$2:$F$531, $G$8 - 1 + 126 - 1), NA())</f>
        <v/>
      </c>
    </row>
    <row r="128">
      <c r="P128" s="2">
        <f>IF(127&lt;=$I$8, INDEX('Precios Diarios'!$A$2:$A$531, $G$8 - 1 + 127 - 1), NA())</f>
        <v/>
      </c>
      <c r="Q128">
        <f>IF(127&lt;=$I$8, INDEX('Precios Diarios'!$E$2:$E$531, $G$8 - 1 + 127 - 1), NA())</f>
        <v/>
      </c>
      <c r="R128">
        <f>IF(127&lt;=$I$8, INDEX('Precios Diarios'!$F$2:$F$531, $G$8 - 1 + 127 - 1), NA())</f>
        <v/>
      </c>
    </row>
    <row r="129">
      <c r="P129" s="2">
        <f>IF(128&lt;=$I$8, INDEX('Precios Diarios'!$A$2:$A$531, $G$8 - 1 + 128 - 1), NA())</f>
        <v/>
      </c>
      <c r="Q129">
        <f>IF(128&lt;=$I$8, INDEX('Precios Diarios'!$E$2:$E$531, $G$8 - 1 + 128 - 1), NA())</f>
        <v/>
      </c>
      <c r="R129">
        <f>IF(128&lt;=$I$8, INDEX('Precios Diarios'!$F$2:$F$531, $G$8 - 1 + 128 - 1), NA())</f>
        <v/>
      </c>
    </row>
    <row r="130">
      <c r="P130" s="2">
        <f>IF(129&lt;=$I$8, INDEX('Precios Diarios'!$A$2:$A$531, $G$8 - 1 + 129 - 1), NA())</f>
        <v/>
      </c>
      <c r="Q130">
        <f>IF(129&lt;=$I$8, INDEX('Precios Diarios'!$E$2:$E$531, $G$8 - 1 + 129 - 1), NA())</f>
        <v/>
      </c>
      <c r="R130">
        <f>IF(129&lt;=$I$8, INDEX('Precios Diarios'!$F$2:$F$531, $G$8 - 1 + 129 - 1), NA())</f>
        <v/>
      </c>
    </row>
    <row r="131">
      <c r="P131" s="2">
        <f>IF(130&lt;=$I$8, INDEX('Precios Diarios'!$A$2:$A$531, $G$8 - 1 + 130 - 1), NA())</f>
        <v/>
      </c>
      <c r="Q131">
        <f>IF(130&lt;=$I$8, INDEX('Precios Diarios'!$E$2:$E$531, $G$8 - 1 + 130 - 1), NA())</f>
        <v/>
      </c>
      <c r="R131">
        <f>IF(130&lt;=$I$8, INDEX('Precios Diarios'!$F$2:$F$531, $G$8 - 1 + 130 - 1), NA())</f>
        <v/>
      </c>
    </row>
    <row r="132">
      <c r="P132" s="2">
        <f>IF(131&lt;=$I$8, INDEX('Precios Diarios'!$A$2:$A$531, $G$8 - 1 + 131 - 1), NA())</f>
        <v/>
      </c>
      <c r="Q132">
        <f>IF(131&lt;=$I$8, INDEX('Precios Diarios'!$E$2:$E$531, $G$8 - 1 + 131 - 1), NA())</f>
        <v/>
      </c>
      <c r="R132">
        <f>IF(131&lt;=$I$8, INDEX('Precios Diarios'!$F$2:$F$531, $G$8 - 1 + 131 - 1), NA())</f>
        <v/>
      </c>
    </row>
    <row r="133">
      <c r="P133" s="2">
        <f>IF(132&lt;=$I$8, INDEX('Precios Diarios'!$A$2:$A$531, $G$8 - 1 + 132 - 1), NA())</f>
        <v/>
      </c>
      <c r="Q133">
        <f>IF(132&lt;=$I$8, INDEX('Precios Diarios'!$E$2:$E$531, $G$8 - 1 + 132 - 1), NA())</f>
        <v/>
      </c>
      <c r="R133">
        <f>IF(132&lt;=$I$8, INDEX('Precios Diarios'!$F$2:$F$531, $G$8 - 1 + 132 - 1), NA())</f>
        <v/>
      </c>
    </row>
    <row r="134">
      <c r="P134" s="2">
        <f>IF(133&lt;=$I$8, INDEX('Precios Diarios'!$A$2:$A$531, $G$8 - 1 + 133 - 1), NA())</f>
        <v/>
      </c>
      <c r="Q134">
        <f>IF(133&lt;=$I$8, INDEX('Precios Diarios'!$E$2:$E$531, $G$8 - 1 + 133 - 1), NA())</f>
        <v/>
      </c>
      <c r="R134">
        <f>IF(133&lt;=$I$8, INDEX('Precios Diarios'!$F$2:$F$531, $G$8 - 1 + 133 - 1), NA())</f>
        <v/>
      </c>
    </row>
    <row r="135">
      <c r="P135" s="2">
        <f>IF(134&lt;=$I$8, INDEX('Precios Diarios'!$A$2:$A$531, $G$8 - 1 + 134 - 1), NA())</f>
        <v/>
      </c>
      <c r="Q135">
        <f>IF(134&lt;=$I$8, INDEX('Precios Diarios'!$E$2:$E$531, $G$8 - 1 + 134 - 1), NA())</f>
        <v/>
      </c>
      <c r="R135">
        <f>IF(134&lt;=$I$8, INDEX('Precios Diarios'!$F$2:$F$531, $G$8 - 1 + 134 - 1), NA())</f>
        <v/>
      </c>
    </row>
    <row r="136">
      <c r="P136" s="2">
        <f>IF(135&lt;=$I$8, INDEX('Precios Diarios'!$A$2:$A$531, $G$8 - 1 + 135 - 1), NA())</f>
        <v/>
      </c>
      <c r="Q136">
        <f>IF(135&lt;=$I$8, INDEX('Precios Diarios'!$E$2:$E$531, $G$8 - 1 + 135 - 1), NA())</f>
        <v/>
      </c>
      <c r="R136">
        <f>IF(135&lt;=$I$8, INDEX('Precios Diarios'!$F$2:$F$531, $G$8 - 1 + 135 - 1), NA())</f>
        <v/>
      </c>
    </row>
    <row r="137">
      <c r="P137" s="2">
        <f>IF(136&lt;=$I$8, INDEX('Precios Diarios'!$A$2:$A$531, $G$8 - 1 + 136 - 1), NA())</f>
        <v/>
      </c>
      <c r="Q137">
        <f>IF(136&lt;=$I$8, INDEX('Precios Diarios'!$E$2:$E$531, $G$8 - 1 + 136 - 1), NA())</f>
        <v/>
      </c>
      <c r="R137">
        <f>IF(136&lt;=$I$8, INDEX('Precios Diarios'!$F$2:$F$531, $G$8 - 1 + 136 - 1), NA())</f>
        <v/>
      </c>
    </row>
    <row r="138">
      <c r="P138" s="2">
        <f>IF(137&lt;=$I$8, INDEX('Precios Diarios'!$A$2:$A$531, $G$8 - 1 + 137 - 1), NA())</f>
        <v/>
      </c>
      <c r="Q138">
        <f>IF(137&lt;=$I$8, INDEX('Precios Diarios'!$E$2:$E$531, $G$8 - 1 + 137 - 1), NA())</f>
        <v/>
      </c>
      <c r="R138">
        <f>IF(137&lt;=$I$8, INDEX('Precios Diarios'!$F$2:$F$531, $G$8 - 1 + 137 - 1), NA())</f>
        <v/>
      </c>
    </row>
    <row r="139">
      <c r="P139" s="2">
        <f>IF(138&lt;=$I$8, INDEX('Precios Diarios'!$A$2:$A$531, $G$8 - 1 + 138 - 1), NA())</f>
        <v/>
      </c>
      <c r="Q139">
        <f>IF(138&lt;=$I$8, INDEX('Precios Diarios'!$E$2:$E$531, $G$8 - 1 + 138 - 1), NA())</f>
        <v/>
      </c>
      <c r="R139">
        <f>IF(138&lt;=$I$8, INDEX('Precios Diarios'!$F$2:$F$531, $G$8 - 1 + 138 - 1), NA())</f>
        <v/>
      </c>
    </row>
    <row r="140">
      <c r="P140" s="2">
        <f>IF(139&lt;=$I$8, INDEX('Precios Diarios'!$A$2:$A$531, $G$8 - 1 + 139 - 1), NA())</f>
        <v/>
      </c>
      <c r="Q140">
        <f>IF(139&lt;=$I$8, INDEX('Precios Diarios'!$E$2:$E$531, $G$8 - 1 + 139 - 1), NA())</f>
        <v/>
      </c>
      <c r="R140">
        <f>IF(139&lt;=$I$8, INDEX('Precios Diarios'!$F$2:$F$531, $G$8 - 1 + 139 - 1), NA())</f>
        <v/>
      </c>
    </row>
    <row r="141">
      <c r="P141" s="2">
        <f>IF(140&lt;=$I$8, INDEX('Precios Diarios'!$A$2:$A$531, $G$8 - 1 + 140 - 1), NA())</f>
        <v/>
      </c>
      <c r="Q141">
        <f>IF(140&lt;=$I$8, INDEX('Precios Diarios'!$E$2:$E$531, $G$8 - 1 + 140 - 1), NA())</f>
        <v/>
      </c>
      <c r="R141">
        <f>IF(140&lt;=$I$8, INDEX('Precios Diarios'!$F$2:$F$531, $G$8 - 1 + 140 - 1), NA())</f>
        <v/>
      </c>
    </row>
    <row r="142">
      <c r="P142" s="2">
        <f>IF(141&lt;=$I$8, INDEX('Precios Diarios'!$A$2:$A$531, $G$8 - 1 + 141 - 1), NA())</f>
        <v/>
      </c>
      <c r="Q142">
        <f>IF(141&lt;=$I$8, INDEX('Precios Diarios'!$E$2:$E$531, $G$8 - 1 + 141 - 1), NA())</f>
        <v/>
      </c>
      <c r="R142">
        <f>IF(141&lt;=$I$8, INDEX('Precios Diarios'!$F$2:$F$531, $G$8 - 1 + 141 - 1), NA())</f>
        <v/>
      </c>
    </row>
    <row r="143">
      <c r="P143" s="2">
        <f>IF(142&lt;=$I$8, INDEX('Precios Diarios'!$A$2:$A$531, $G$8 - 1 + 142 - 1), NA())</f>
        <v/>
      </c>
      <c r="Q143">
        <f>IF(142&lt;=$I$8, INDEX('Precios Diarios'!$E$2:$E$531, $G$8 - 1 + 142 - 1), NA())</f>
        <v/>
      </c>
      <c r="R143">
        <f>IF(142&lt;=$I$8, INDEX('Precios Diarios'!$F$2:$F$531, $G$8 - 1 + 142 - 1), NA())</f>
        <v/>
      </c>
    </row>
    <row r="144">
      <c r="P144" s="2">
        <f>IF(143&lt;=$I$8, INDEX('Precios Diarios'!$A$2:$A$531, $G$8 - 1 + 143 - 1), NA())</f>
        <v/>
      </c>
      <c r="Q144">
        <f>IF(143&lt;=$I$8, INDEX('Precios Diarios'!$E$2:$E$531, $G$8 - 1 + 143 - 1), NA())</f>
        <v/>
      </c>
      <c r="R144">
        <f>IF(143&lt;=$I$8, INDEX('Precios Diarios'!$F$2:$F$531, $G$8 - 1 + 143 - 1), NA())</f>
        <v/>
      </c>
    </row>
    <row r="145">
      <c r="P145" s="2">
        <f>IF(144&lt;=$I$8, INDEX('Precios Diarios'!$A$2:$A$531, $G$8 - 1 + 144 - 1), NA())</f>
        <v/>
      </c>
      <c r="Q145">
        <f>IF(144&lt;=$I$8, INDEX('Precios Diarios'!$E$2:$E$531, $G$8 - 1 + 144 - 1), NA())</f>
        <v/>
      </c>
      <c r="R145">
        <f>IF(144&lt;=$I$8, INDEX('Precios Diarios'!$F$2:$F$531, $G$8 - 1 + 144 - 1), NA())</f>
        <v/>
      </c>
    </row>
    <row r="146">
      <c r="P146" s="2">
        <f>IF(145&lt;=$I$8, INDEX('Precios Diarios'!$A$2:$A$531, $G$8 - 1 + 145 - 1), NA())</f>
        <v/>
      </c>
      <c r="Q146">
        <f>IF(145&lt;=$I$8, INDEX('Precios Diarios'!$E$2:$E$531, $G$8 - 1 + 145 - 1), NA())</f>
        <v/>
      </c>
      <c r="R146">
        <f>IF(145&lt;=$I$8, INDEX('Precios Diarios'!$F$2:$F$531, $G$8 - 1 + 145 - 1), NA())</f>
        <v/>
      </c>
    </row>
    <row r="147">
      <c r="P147" s="2">
        <f>IF(146&lt;=$I$8, INDEX('Precios Diarios'!$A$2:$A$531, $G$8 - 1 + 146 - 1), NA())</f>
        <v/>
      </c>
      <c r="Q147">
        <f>IF(146&lt;=$I$8, INDEX('Precios Diarios'!$E$2:$E$531, $G$8 - 1 + 146 - 1), NA())</f>
        <v/>
      </c>
      <c r="R147">
        <f>IF(146&lt;=$I$8, INDEX('Precios Diarios'!$F$2:$F$531, $G$8 - 1 + 146 - 1), NA())</f>
        <v/>
      </c>
    </row>
    <row r="148">
      <c r="P148" s="2">
        <f>IF(147&lt;=$I$8, INDEX('Precios Diarios'!$A$2:$A$531, $G$8 - 1 + 147 - 1), NA())</f>
        <v/>
      </c>
      <c r="Q148">
        <f>IF(147&lt;=$I$8, INDEX('Precios Diarios'!$E$2:$E$531, $G$8 - 1 + 147 - 1), NA())</f>
        <v/>
      </c>
      <c r="R148">
        <f>IF(147&lt;=$I$8, INDEX('Precios Diarios'!$F$2:$F$531, $G$8 - 1 + 147 - 1), NA())</f>
        <v/>
      </c>
    </row>
    <row r="149">
      <c r="P149" s="2">
        <f>IF(148&lt;=$I$8, INDEX('Precios Diarios'!$A$2:$A$531, $G$8 - 1 + 148 - 1), NA())</f>
        <v/>
      </c>
      <c r="Q149">
        <f>IF(148&lt;=$I$8, INDEX('Precios Diarios'!$E$2:$E$531, $G$8 - 1 + 148 - 1), NA())</f>
        <v/>
      </c>
      <c r="R149">
        <f>IF(148&lt;=$I$8, INDEX('Precios Diarios'!$F$2:$F$531, $G$8 - 1 + 148 - 1), NA())</f>
        <v/>
      </c>
    </row>
    <row r="150">
      <c r="P150" s="2">
        <f>IF(149&lt;=$I$8, INDEX('Precios Diarios'!$A$2:$A$531, $G$8 - 1 + 149 - 1), NA())</f>
        <v/>
      </c>
      <c r="Q150">
        <f>IF(149&lt;=$I$8, INDEX('Precios Diarios'!$E$2:$E$531, $G$8 - 1 + 149 - 1), NA())</f>
        <v/>
      </c>
      <c r="R150">
        <f>IF(149&lt;=$I$8, INDEX('Precios Diarios'!$F$2:$F$531, $G$8 - 1 + 149 - 1), NA())</f>
        <v/>
      </c>
    </row>
    <row r="151">
      <c r="P151" s="2">
        <f>IF(150&lt;=$I$8, INDEX('Precios Diarios'!$A$2:$A$531, $G$8 - 1 + 150 - 1), NA())</f>
        <v/>
      </c>
      <c r="Q151">
        <f>IF(150&lt;=$I$8, INDEX('Precios Diarios'!$E$2:$E$531, $G$8 - 1 + 150 - 1), NA())</f>
        <v/>
      </c>
      <c r="R151">
        <f>IF(150&lt;=$I$8, INDEX('Precios Diarios'!$F$2:$F$531, $G$8 - 1 + 150 - 1), NA())</f>
        <v/>
      </c>
    </row>
    <row r="152">
      <c r="P152" s="2">
        <f>IF(151&lt;=$I$8, INDEX('Precios Diarios'!$A$2:$A$531, $G$8 - 1 + 151 - 1), NA())</f>
        <v/>
      </c>
      <c r="Q152">
        <f>IF(151&lt;=$I$8, INDEX('Precios Diarios'!$E$2:$E$531, $G$8 - 1 + 151 - 1), NA())</f>
        <v/>
      </c>
      <c r="R152">
        <f>IF(151&lt;=$I$8, INDEX('Precios Diarios'!$F$2:$F$531, $G$8 - 1 + 151 - 1), NA())</f>
        <v/>
      </c>
    </row>
    <row r="153">
      <c r="P153" s="2">
        <f>IF(152&lt;=$I$8, INDEX('Precios Diarios'!$A$2:$A$531, $G$8 - 1 + 152 - 1), NA())</f>
        <v/>
      </c>
      <c r="Q153">
        <f>IF(152&lt;=$I$8, INDEX('Precios Diarios'!$E$2:$E$531, $G$8 - 1 + 152 - 1), NA())</f>
        <v/>
      </c>
      <c r="R153">
        <f>IF(152&lt;=$I$8, INDEX('Precios Diarios'!$F$2:$F$531, $G$8 - 1 + 152 - 1), NA())</f>
        <v/>
      </c>
    </row>
    <row r="154">
      <c r="P154" s="2">
        <f>IF(153&lt;=$I$8, INDEX('Precios Diarios'!$A$2:$A$531, $G$8 - 1 + 153 - 1), NA())</f>
        <v/>
      </c>
      <c r="Q154">
        <f>IF(153&lt;=$I$8, INDEX('Precios Diarios'!$E$2:$E$531, $G$8 - 1 + 153 - 1), NA())</f>
        <v/>
      </c>
      <c r="R154">
        <f>IF(153&lt;=$I$8, INDEX('Precios Diarios'!$F$2:$F$531, $G$8 - 1 + 153 - 1), NA())</f>
        <v/>
      </c>
    </row>
    <row r="155">
      <c r="P155" s="2">
        <f>IF(154&lt;=$I$8, INDEX('Precios Diarios'!$A$2:$A$531, $G$8 - 1 + 154 - 1), NA())</f>
        <v/>
      </c>
      <c r="Q155">
        <f>IF(154&lt;=$I$8, INDEX('Precios Diarios'!$E$2:$E$531, $G$8 - 1 + 154 - 1), NA())</f>
        <v/>
      </c>
      <c r="R155">
        <f>IF(154&lt;=$I$8, INDEX('Precios Diarios'!$F$2:$F$531, $G$8 - 1 + 154 - 1), NA())</f>
        <v/>
      </c>
    </row>
    <row r="156">
      <c r="P156" s="2">
        <f>IF(155&lt;=$I$8, INDEX('Precios Diarios'!$A$2:$A$531, $G$8 - 1 + 155 - 1), NA())</f>
        <v/>
      </c>
      <c r="Q156">
        <f>IF(155&lt;=$I$8, INDEX('Precios Diarios'!$E$2:$E$531, $G$8 - 1 + 155 - 1), NA())</f>
        <v/>
      </c>
      <c r="R156">
        <f>IF(155&lt;=$I$8, INDEX('Precios Diarios'!$F$2:$F$531, $G$8 - 1 + 155 - 1), NA())</f>
        <v/>
      </c>
    </row>
    <row r="157">
      <c r="P157" s="2">
        <f>IF(156&lt;=$I$8, INDEX('Precios Diarios'!$A$2:$A$531, $G$8 - 1 + 156 - 1), NA())</f>
        <v/>
      </c>
      <c r="Q157">
        <f>IF(156&lt;=$I$8, INDEX('Precios Diarios'!$E$2:$E$531, $G$8 - 1 + 156 - 1), NA())</f>
        <v/>
      </c>
      <c r="R157">
        <f>IF(156&lt;=$I$8, INDEX('Precios Diarios'!$F$2:$F$531, $G$8 - 1 + 156 - 1), NA())</f>
        <v/>
      </c>
    </row>
    <row r="158">
      <c r="P158" s="2">
        <f>IF(157&lt;=$I$8, INDEX('Precios Diarios'!$A$2:$A$531, $G$8 - 1 + 157 - 1), NA())</f>
        <v/>
      </c>
      <c r="Q158">
        <f>IF(157&lt;=$I$8, INDEX('Precios Diarios'!$E$2:$E$531, $G$8 - 1 + 157 - 1), NA())</f>
        <v/>
      </c>
      <c r="R158">
        <f>IF(157&lt;=$I$8, INDEX('Precios Diarios'!$F$2:$F$531, $G$8 - 1 + 157 - 1), NA())</f>
        <v/>
      </c>
    </row>
    <row r="159">
      <c r="P159" s="2">
        <f>IF(158&lt;=$I$8, INDEX('Precios Diarios'!$A$2:$A$531, $G$8 - 1 + 158 - 1), NA())</f>
        <v/>
      </c>
      <c r="Q159">
        <f>IF(158&lt;=$I$8, INDEX('Precios Diarios'!$E$2:$E$531, $G$8 - 1 + 158 - 1), NA())</f>
        <v/>
      </c>
      <c r="R159">
        <f>IF(158&lt;=$I$8, INDEX('Precios Diarios'!$F$2:$F$531, $G$8 - 1 + 158 - 1), NA())</f>
        <v/>
      </c>
    </row>
    <row r="160">
      <c r="P160" s="2">
        <f>IF(159&lt;=$I$8, INDEX('Precios Diarios'!$A$2:$A$531, $G$8 - 1 + 159 - 1), NA())</f>
        <v/>
      </c>
      <c r="Q160">
        <f>IF(159&lt;=$I$8, INDEX('Precios Diarios'!$E$2:$E$531, $G$8 - 1 + 159 - 1), NA())</f>
        <v/>
      </c>
      <c r="R160">
        <f>IF(159&lt;=$I$8, INDEX('Precios Diarios'!$F$2:$F$531, $G$8 - 1 + 159 - 1), NA())</f>
        <v/>
      </c>
    </row>
    <row r="161">
      <c r="P161" s="2">
        <f>IF(160&lt;=$I$8, INDEX('Precios Diarios'!$A$2:$A$531, $G$8 - 1 + 160 - 1), NA())</f>
        <v/>
      </c>
      <c r="Q161">
        <f>IF(160&lt;=$I$8, INDEX('Precios Diarios'!$E$2:$E$531, $G$8 - 1 + 160 - 1), NA())</f>
        <v/>
      </c>
      <c r="R161">
        <f>IF(160&lt;=$I$8, INDEX('Precios Diarios'!$F$2:$F$531, $G$8 - 1 + 160 - 1), NA())</f>
        <v/>
      </c>
    </row>
    <row r="162">
      <c r="P162" s="2">
        <f>IF(161&lt;=$I$8, INDEX('Precios Diarios'!$A$2:$A$531, $G$8 - 1 + 161 - 1), NA())</f>
        <v/>
      </c>
      <c r="Q162">
        <f>IF(161&lt;=$I$8, INDEX('Precios Diarios'!$E$2:$E$531, $G$8 - 1 + 161 - 1), NA())</f>
        <v/>
      </c>
      <c r="R162">
        <f>IF(161&lt;=$I$8, INDEX('Precios Diarios'!$F$2:$F$531, $G$8 - 1 + 161 - 1), NA())</f>
        <v/>
      </c>
    </row>
    <row r="163">
      <c r="P163" s="2">
        <f>IF(162&lt;=$I$8, INDEX('Precios Diarios'!$A$2:$A$531, $G$8 - 1 + 162 - 1), NA())</f>
        <v/>
      </c>
      <c r="Q163">
        <f>IF(162&lt;=$I$8, INDEX('Precios Diarios'!$E$2:$E$531, $G$8 - 1 + 162 - 1), NA())</f>
        <v/>
      </c>
      <c r="R163">
        <f>IF(162&lt;=$I$8, INDEX('Precios Diarios'!$F$2:$F$531, $G$8 - 1 + 162 - 1), NA())</f>
        <v/>
      </c>
    </row>
    <row r="164">
      <c r="P164" s="2">
        <f>IF(163&lt;=$I$8, INDEX('Precios Diarios'!$A$2:$A$531, $G$8 - 1 + 163 - 1), NA())</f>
        <v/>
      </c>
      <c r="Q164">
        <f>IF(163&lt;=$I$8, INDEX('Precios Diarios'!$E$2:$E$531, $G$8 - 1 + 163 - 1), NA())</f>
        <v/>
      </c>
      <c r="R164">
        <f>IF(163&lt;=$I$8, INDEX('Precios Diarios'!$F$2:$F$531, $G$8 - 1 + 163 - 1), NA())</f>
        <v/>
      </c>
    </row>
    <row r="165">
      <c r="P165" s="2">
        <f>IF(164&lt;=$I$8, INDEX('Precios Diarios'!$A$2:$A$531, $G$8 - 1 + 164 - 1), NA())</f>
        <v/>
      </c>
      <c r="Q165">
        <f>IF(164&lt;=$I$8, INDEX('Precios Diarios'!$E$2:$E$531, $G$8 - 1 + 164 - 1), NA())</f>
        <v/>
      </c>
      <c r="R165">
        <f>IF(164&lt;=$I$8, INDEX('Precios Diarios'!$F$2:$F$531, $G$8 - 1 + 164 - 1), NA())</f>
        <v/>
      </c>
    </row>
    <row r="166">
      <c r="P166" s="2">
        <f>IF(165&lt;=$I$8, INDEX('Precios Diarios'!$A$2:$A$531, $G$8 - 1 + 165 - 1), NA())</f>
        <v/>
      </c>
      <c r="Q166">
        <f>IF(165&lt;=$I$8, INDEX('Precios Diarios'!$E$2:$E$531, $G$8 - 1 + 165 - 1), NA())</f>
        <v/>
      </c>
      <c r="R166">
        <f>IF(165&lt;=$I$8, INDEX('Precios Diarios'!$F$2:$F$531, $G$8 - 1 + 165 - 1), NA())</f>
        <v/>
      </c>
    </row>
    <row r="167">
      <c r="P167" s="2">
        <f>IF(166&lt;=$I$8, INDEX('Precios Diarios'!$A$2:$A$531, $G$8 - 1 + 166 - 1), NA())</f>
        <v/>
      </c>
      <c r="Q167">
        <f>IF(166&lt;=$I$8, INDEX('Precios Diarios'!$E$2:$E$531, $G$8 - 1 + 166 - 1), NA())</f>
        <v/>
      </c>
      <c r="R167">
        <f>IF(166&lt;=$I$8, INDEX('Precios Diarios'!$F$2:$F$531, $G$8 - 1 + 166 - 1), NA())</f>
        <v/>
      </c>
    </row>
    <row r="168">
      <c r="P168" s="2">
        <f>IF(167&lt;=$I$8, INDEX('Precios Diarios'!$A$2:$A$531, $G$8 - 1 + 167 - 1), NA())</f>
        <v/>
      </c>
      <c r="Q168">
        <f>IF(167&lt;=$I$8, INDEX('Precios Diarios'!$E$2:$E$531, $G$8 - 1 + 167 - 1), NA())</f>
        <v/>
      </c>
      <c r="R168">
        <f>IF(167&lt;=$I$8, INDEX('Precios Diarios'!$F$2:$F$531, $G$8 - 1 + 167 - 1), NA())</f>
        <v/>
      </c>
    </row>
    <row r="169">
      <c r="P169" s="2">
        <f>IF(168&lt;=$I$8, INDEX('Precios Diarios'!$A$2:$A$531, $G$8 - 1 + 168 - 1), NA())</f>
        <v/>
      </c>
      <c r="Q169">
        <f>IF(168&lt;=$I$8, INDEX('Precios Diarios'!$E$2:$E$531, $G$8 - 1 + 168 - 1), NA())</f>
        <v/>
      </c>
      <c r="R169">
        <f>IF(168&lt;=$I$8, INDEX('Precios Diarios'!$F$2:$F$531, $G$8 - 1 + 168 - 1), NA())</f>
        <v/>
      </c>
    </row>
    <row r="170">
      <c r="P170" s="2">
        <f>IF(169&lt;=$I$8, INDEX('Precios Diarios'!$A$2:$A$531, $G$8 - 1 + 169 - 1), NA())</f>
        <v/>
      </c>
      <c r="Q170">
        <f>IF(169&lt;=$I$8, INDEX('Precios Diarios'!$E$2:$E$531, $G$8 - 1 + 169 - 1), NA())</f>
        <v/>
      </c>
      <c r="R170">
        <f>IF(169&lt;=$I$8, INDEX('Precios Diarios'!$F$2:$F$531, $G$8 - 1 + 169 - 1), NA())</f>
        <v/>
      </c>
    </row>
    <row r="171">
      <c r="P171" s="2">
        <f>IF(170&lt;=$I$8, INDEX('Precios Diarios'!$A$2:$A$531, $G$8 - 1 + 170 - 1), NA())</f>
        <v/>
      </c>
      <c r="Q171">
        <f>IF(170&lt;=$I$8, INDEX('Precios Diarios'!$E$2:$E$531, $G$8 - 1 + 170 - 1), NA())</f>
        <v/>
      </c>
      <c r="R171">
        <f>IF(170&lt;=$I$8, INDEX('Precios Diarios'!$F$2:$F$531, $G$8 - 1 + 170 - 1), NA())</f>
        <v/>
      </c>
    </row>
    <row r="172">
      <c r="P172" s="2">
        <f>IF(171&lt;=$I$8, INDEX('Precios Diarios'!$A$2:$A$531, $G$8 - 1 + 171 - 1), NA())</f>
        <v/>
      </c>
      <c r="Q172">
        <f>IF(171&lt;=$I$8, INDEX('Precios Diarios'!$E$2:$E$531, $G$8 - 1 + 171 - 1), NA())</f>
        <v/>
      </c>
      <c r="R172">
        <f>IF(171&lt;=$I$8, INDEX('Precios Diarios'!$F$2:$F$531, $G$8 - 1 + 171 - 1), NA())</f>
        <v/>
      </c>
    </row>
    <row r="173">
      <c r="P173" s="2">
        <f>IF(172&lt;=$I$8, INDEX('Precios Diarios'!$A$2:$A$531, $G$8 - 1 + 172 - 1), NA())</f>
        <v/>
      </c>
      <c r="Q173">
        <f>IF(172&lt;=$I$8, INDEX('Precios Diarios'!$E$2:$E$531, $G$8 - 1 + 172 - 1), NA())</f>
        <v/>
      </c>
      <c r="R173">
        <f>IF(172&lt;=$I$8, INDEX('Precios Diarios'!$F$2:$F$531, $G$8 - 1 + 172 - 1), NA())</f>
        <v/>
      </c>
    </row>
    <row r="174">
      <c r="P174" s="2">
        <f>IF(173&lt;=$I$8, INDEX('Precios Diarios'!$A$2:$A$531, $G$8 - 1 + 173 - 1), NA())</f>
        <v/>
      </c>
      <c r="Q174">
        <f>IF(173&lt;=$I$8, INDEX('Precios Diarios'!$E$2:$E$531, $G$8 - 1 + 173 - 1), NA())</f>
        <v/>
      </c>
      <c r="R174">
        <f>IF(173&lt;=$I$8, INDEX('Precios Diarios'!$F$2:$F$531, $G$8 - 1 + 173 - 1), NA())</f>
        <v/>
      </c>
    </row>
    <row r="175">
      <c r="P175" s="2">
        <f>IF(174&lt;=$I$8, INDEX('Precios Diarios'!$A$2:$A$531, $G$8 - 1 + 174 - 1), NA())</f>
        <v/>
      </c>
      <c r="Q175">
        <f>IF(174&lt;=$I$8, INDEX('Precios Diarios'!$E$2:$E$531, $G$8 - 1 + 174 - 1), NA())</f>
        <v/>
      </c>
      <c r="R175">
        <f>IF(174&lt;=$I$8, INDEX('Precios Diarios'!$F$2:$F$531, $G$8 - 1 + 174 - 1), NA())</f>
        <v/>
      </c>
    </row>
    <row r="176">
      <c r="P176" s="2">
        <f>IF(175&lt;=$I$8, INDEX('Precios Diarios'!$A$2:$A$531, $G$8 - 1 + 175 - 1), NA())</f>
        <v/>
      </c>
      <c r="Q176">
        <f>IF(175&lt;=$I$8, INDEX('Precios Diarios'!$E$2:$E$531, $G$8 - 1 + 175 - 1), NA())</f>
        <v/>
      </c>
      <c r="R176">
        <f>IF(175&lt;=$I$8, INDEX('Precios Diarios'!$F$2:$F$531, $G$8 - 1 + 175 - 1), NA())</f>
        <v/>
      </c>
    </row>
    <row r="177">
      <c r="P177" s="2">
        <f>IF(176&lt;=$I$8, INDEX('Precios Diarios'!$A$2:$A$531, $G$8 - 1 + 176 - 1), NA())</f>
        <v/>
      </c>
      <c r="Q177">
        <f>IF(176&lt;=$I$8, INDEX('Precios Diarios'!$E$2:$E$531, $G$8 - 1 + 176 - 1), NA())</f>
        <v/>
      </c>
      <c r="R177">
        <f>IF(176&lt;=$I$8, INDEX('Precios Diarios'!$F$2:$F$531, $G$8 - 1 + 176 - 1), NA())</f>
        <v/>
      </c>
    </row>
    <row r="178">
      <c r="P178" s="2">
        <f>IF(177&lt;=$I$8, INDEX('Precios Diarios'!$A$2:$A$531, $G$8 - 1 + 177 - 1), NA())</f>
        <v/>
      </c>
      <c r="Q178">
        <f>IF(177&lt;=$I$8, INDEX('Precios Diarios'!$E$2:$E$531, $G$8 - 1 + 177 - 1), NA())</f>
        <v/>
      </c>
      <c r="R178">
        <f>IF(177&lt;=$I$8, INDEX('Precios Diarios'!$F$2:$F$531, $G$8 - 1 + 177 - 1), NA())</f>
        <v/>
      </c>
    </row>
    <row r="179">
      <c r="P179" s="2">
        <f>IF(178&lt;=$I$8, INDEX('Precios Diarios'!$A$2:$A$531, $G$8 - 1 + 178 - 1), NA())</f>
        <v/>
      </c>
      <c r="Q179">
        <f>IF(178&lt;=$I$8, INDEX('Precios Diarios'!$E$2:$E$531, $G$8 - 1 + 178 - 1), NA())</f>
        <v/>
      </c>
      <c r="R179">
        <f>IF(178&lt;=$I$8, INDEX('Precios Diarios'!$F$2:$F$531, $G$8 - 1 + 178 - 1), NA())</f>
        <v/>
      </c>
    </row>
    <row r="180">
      <c r="P180" s="2">
        <f>IF(179&lt;=$I$8, INDEX('Precios Diarios'!$A$2:$A$531, $G$8 - 1 + 179 - 1), NA())</f>
        <v/>
      </c>
      <c r="Q180">
        <f>IF(179&lt;=$I$8, INDEX('Precios Diarios'!$E$2:$E$531, $G$8 - 1 + 179 - 1), NA())</f>
        <v/>
      </c>
      <c r="R180">
        <f>IF(179&lt;=$I$8, INDEX('Precios Diarios'!$F$2:$F$531, $G$8 - 1 + 179 - 1), NA())</f>
        <v/>
      </c>
    </row>
    <row r="181">
      <c r="P181" s="2">
        <f>IF(180&lt;=$I$8, INDEX('Precios Diarios'!$A$2:$A$531, $G$8 - 1 + 180 - 1), NA())</f>
        <v/>
      </c>
      <c r="Q181">
        <f>IF(180&lt;=$I$8, INDEX('Precios Diarios'!$E$2:$E$531, $G$8 - 1 + 180 - 1), NA())</f>
        <v/>
      </c>
      <c r="R181">
        <f>IF(180&lt;=$I$8, INDEX('Precios Diarios'!$F$2:$F$531, $G$8 - 1 + 180 - 1), NA())</f>
        <v/>
      </c>
    </row>
    <row r="182">
      <c r="P182" s="2">
        <f>IF(181&lt;=$I$8, INDEX('Precios Diarios'!$A$2:$A$531, $G$8 - 1 + 181 - 1), NA())</f>
        <v/>
      </c>
      <c r="Q182">
        <f>IF(181&lt;=$I$8, INDEX('Precios Diarios'!$E$2:$E$531, $G$8 - 1 + 181 - 1), NA())</f>
        <v/>
      </c>
      <c r="R182">
        <f>IF(181&lt;=$I$8, INDEX('Precios Diarios'!$F$2:$F$531, $G$8 - 1 + 181 - 1), NA())</f>
        <v/>
      </c>
    </row>
    <row r="183">
      <c r="P183" s="2">
        <f>IF(182&lt;=$I$8, INDEX('Precios Diarios'!$A$2:$A$531, $G$8 - 1 + 182 - 1), NA())</f>
        <v/>
      </c>
      <c r="Q183">
        <f>IF(182&lt;=$I$8, INDEX('Precios Diarios'!$E$2:$E$531, $G$8 - 1 + 182 - 1), NA())</f>
        <v/>
      </c>
      <c r="R183">
        <f>IF(182&lt;=$I$8, INDEX('Precios Diarios'!$F$2:$F$531, $G$8 - 1 + 182 - 1), NA())</f>
        <v/>
      </c>
    </row>
    <row r="184">
      <c r="P184" s="2">
        <f>IF(183&lt;=$I$8, INDEX('Precios Diarios'!$A$2:$A$531, $G$8 - 1 + 183 - 1), NA())</f>
        <v/>
      </c>
      <c r="Q184">
        <f>IF(183&lt;=$I$8, INDEX('Precios Diarios'!$E$2:$E$531, $G$8 - 1 + 183 - 1), NA())</f>
        <v/>
      </c>
      <c r="R184">
        <f>IF(183&lt;=$I$8, INDEX('Precios Diarios'!$F$2:$F$531, $G$8 - 1 + 183 - 1), NA())</f>
        <v/>
      </c>
    </row>
    <row r="185">
      <c r="P185" s="2">
        <f>IF(184&lt;=$I$8, INDEX('Precios Diarios'!$A$2:$A$531, $G$8 - 1 + 184 - 1), NA())</f>
        <v/>
      </c>
      <c r="Q185">
        <f>IF(184&lt;=$I$8, INDEX('Precios Diarios'!$E$2:$E$531, $G$8 - 1 + 184 - 1), NA())</f>
        <v/>
      </c>
      <c r="R185">
        <f>IF(184&lt;=$I$8, INDEX('Precios Diarios'!$F$2:$F$531, $G$8 - 1 + 184 - 1), NA())</f>
        <v/>
      </c>
    </row>
    <row r="186">
      <c r="P186" s="2">
        <f>IF(185&lt;=$I$8, INDEX('Precios Diarios'!$A$2:$A$531, $G$8 - 1 + 185 - 1), NA())</f>
        <v/>
      </c>
      <c r="Q186">
        <f>IF(185&lt;=$I$8, INDEX('Precios Diarios'!$E$2:$E$531, $G$8 - 1 + 185 - 1), NA())</f>
        <v/>
      </c>
      <c r="R186">
        <f>IF(185&lt;=$I$8, INDEX('Precios Diarios'!$F$2:$F$531, $G$8 - 1 + 185 - 1), NA())</f>
        <v/>
      </c>
    </row>
    <row r="187">
      <c r="P187" s="2">
        <f>IF(186&lt;=$I$8, INDEX('Precios Diarios'!$A$2:$A$531, $G$8 - 1 + 186 - 1), NA())</f>
        <v/>
      </c>
      <c r="Q187">
        <f>IF(186&lt;=$I$8, INDEX('Precios Diarios'!$E$2:$E$531, $G$8 - 1 + 186 - 1), NA())</f>
        <v/>
      </c>
      <c r="R187">
        <f>IF(186&lt;=$I$8, INDEX('Precios Diarios'!$F$2:$F$531, $G$8 - 1 + 186 - 1), NA())</f>
        <v/>
      </c>
    </row>
    <row r="188">
      <c r="P188" s="2">
        <f>IF(187&lt;=$I$8, INDEX('Precios Diarios'!$A$2:$A$531, $G$8 - 1 + 187 - 1), NA())</f>
        <v/>
      </c>
      <c r="Q188">
        <f>IF(187&lt;=$I$8, INDEX('Precios Diarios'!$E$2:$E$531, $G$8 - 1 + 187 - 1), NA())</f>
        <v/>
      </c>
      <c r="R188">
        <f>IF(187&lt;=$I$8, INDEX('Precios Diarios'!$F$2:$F$531, $G$8 - 1 + 187 - 1), NA())</f>
        <v/>
      </c>
    </row>
    <row r="189">
      <c r="P189" s="2">
        <f>IF(188&lt;=$I$8, INDEX('Precios Diarios'!$A$2:$A$531, $G$8 - 1 + 188 - 1), NA())</f>
        <v/>
      </c>
      <c r="Q189">
        <f>IF(188&lt;=$I$8, INDEX('Precios Diarios'!$E$2:$E$531, $G$8 - 1 + 188 - 1), NA())</f>
        <v/>
      </c>
      <c r="R189">
        <f>IF(188&lt;=$I$8, INDEX('Precios Diarios'!$F$2:$F$531, $G$8 - 1 + 188 - 1), NA())</f>
        <v/>
      </c>
    </row>
    <row r="190">
      <c r="P190" s="2">
        <f>IF(189&lt;=$I$8, INDEX('Precios Diarios'!$A$2:$A$531, $G$8 - 1 + 189 - 1), NA())</f>
        <v/>
      </c>
      <c r="Q190">
        <f>IF(189&lt;=$I$8, INDEX('Precios Diarios'!$E$2:$E$531, $G$8 - 1 + 189 - 1), NA())</f>
        <v/>
      </c>
      <c r="R190">
        <f>IF(189&lt;=$I$8, INDEX('Precios Diarios'!$F$2:$F$531, $G$8 - 1 + 189 - 1), NA())</f>
        <v/>
      </c>
    </row>
    <row r="191">
      <c r="P191" s="2">
        <f>IF(190&lt;=$I$8, INDEX('Precios Diarios'!$A$2:$A$531, $G$8 - 1 + 190 - 1), NA())</f>
        <v/>
      </c>
      <c r="Q191">
        <f>IF(190&lt;=$I$8, INDEX('Precios Diarios'!$E$2:$E$531, $G$8 - 1 + 190 - 1), NA())</f>
        <v/>
      </c>
      <c r="R191">
        <f>IF(190&lt;=$I$8, INDEX('Precios Diarios'!$F$2:$F$531, $G$8 - 1 + 190 - 1), NA())</f>
        <v/>
      </c>
    </row>
    <row r="192">
      <c r="P192" s="2">
        <f>IF(191&lt;=$I$8, INDEX('Precios Diarios'!$A$2:$A$531, $G$8 - 1 + 191 - 1), NA())</f>
        <v/>
      </c>
      <c r="Q192">
        <f>IF(191&lt;=$I$8, INDEX('Precios Diarios'!$E$2:$E$531, $G$8 - 1 + 191 - 1), NA())</f>
        <v/>
      </c>
      <c r="R192">
        <f>IF(191&lt;=$I$8, INDEX('Precios Diarios'!$F$2:$F$531, $G$8 - 1 + 191 - 1), NA())</f>
        <v/>
      </c>
    </row>
    <row r="193">
      <c r="P193" s="2">
        <f>IF(192&lt;=$I$8, INDEX('Precios Diarios'!$A$2:$A$531, $G$8 - 1 + 192 - 1), NA())</f>
        <v/>
      </c>
      <c r="Q193">
        <f>IF(192&lt;=$I$8, INDEX('Precios Diarios'!$E$2:$E$531, $G$8 - 1 + 192 - 1), NA())</f>
        <v/>
      </c>
      <c r="R193">
        <f>IF(192&lt;=$I$8, INDEX('Precios Diarios'!$F$2:$F$531, $G$8 - 1 + 192 - 1), NA())</f>
        <v/>
      </c>
    </row>
    <row r="194">
      <c r="P194" s="2">
        <f>IF(193&lt;=$I$8, INDEX('Precios Diarios'!$A$2:$A$531, $G$8 - 1 + 193 - 1), NA())</f>
        <v/>
      </c>
      <c r="Q194">
        <f>IF(193&lt;=$I$8, INDEX('Precios Diarios'!$E$2:$E$531, $G$8 - 1 + 193 - 1), NA())</f>
        <v/>
      </c>
      <c r="R194">
        <f>IF(193&lt;=$I$8, INDEX('Precios Diarios'!$F$2:$F$531, $G$8 - 1 + 193 - 1), NA())</f>
        <v/>
      </c>
    </row>
    <row r="195">
      <c r="P195" s="2">
        <f>IF(194&lt;=$I$8, INDEX('Precios Diarios'!$A$2:$A$531, $G$8 - 1 + 194 - 1), NA())</f>
        <v/>
      </c>
      <c r="Q195">
        <f>IF(194&lt;=$I$8, INDEX('Precios Diarios'!$E$2:$E$531, $G$8 - 1 + 194 - 1), NA())</f>
        <v/>
      </c>
      <c r="R195">
        <f>IF(194&lt;=$I$8, INDEX('Precios Diarios'!$F$2:$F$531, $G$8 - 1 + 194 - 1), NA())</f>
        <v/>
      </c>
    </row>
    <row r="196">
      <c r="P196" s="2">
        <f>IF(195&lt;=$I$8, INDEX('Precios Diarios'!$A$2:$A$531, $G$8 - 1 + 195 - 1), NA())</f>
        <v/>
      </c>
      <c r="Q196">
        <f>IF(195&lt;=$I$8, INDEX('Precios Diarios'!$E$2:$E$531, $G$8 - 1 + 195 - 1), NA())</f>
        <v/>
      </c>
      <c r="R196">
        <f>IF(195&lt;=$I$8, INDEX('Precios Diarios'!$F$2:$F$531, $G$8 - 1 + 195 - 1), NA())</f>
        <v/>
      </c>
    </row>
    <row r="197">
      <c r="P197" s="2">
        <f>IF(196&lt;=$I$8, INDEX('Precios Diarios'!$A$2:$A$531, $G$8 - 1 + 196 - 1), NA())</f>
        <v/>
      </c>
      <c r="Q197">
        <f>IF(196&lt;=$I$8, INDEX('Precios Diarios'!$E$2:$E$531, $G$8 - 1 + 196 - 1), NA())</f>
        <v/>
      </c>
      <c r="R197">
        <f>IF(196&lt;=$I$8, INDEX('Precios Diarios'!$F$2:$F$531, $G$8 - 1 + 196 - 1), NA())</f>
        <v/>
      </c>
    </row>
    <row r="198">
      <c r="P198" s="2">
        <f>IF(197&lt;=$I$8, INDEX('Precios Diarios'!$A$2:$A$531, $G$8 - 1 + 197 - 1), NA())</f>
        <v/>
      </c>
      <c r="Q198">
        <f>IF(197&lt;=$I$8, INDEX('Precios Diarios'!$E$2:$E$531, $G$8 - 1 + 197 - 1), NA())</f>
        <v/>
      </c>
      <c r="R198">
        <f>IF(197&lt;=$I$8, INDEX('Precios Diarios'!$F$2:$F$531, $G$8 - 1 + 197 - 1), NA())</f>
        <v/>
      </c>
    </row>
    <row r="199">
      <c r="P199" s="2">
        <f>IF(198&lt;=$I$8, INDEX('Precios Diarios'!$A$2:$A$531, $G$8 - 1 + 198 - 1), NA())</f>
        <v/>
      </c>
      <c r="Q199">
        <f>IF(198&lt;=$I$8, INDEX('Precios Diarios'!$E$2:$E$531, $G$8 - 1 + 198 - 1), NA())</f>
        <v/>
      </c>
      <c r="R199">
        <f>IF(198&lt;=$I$8, INDEX('Precios Diarios'!$F$2:$F$531, $G$8 - 1 + 198 - 1), NA())</f>
        <v/>
      </c>
    </row>
    <row r="200">
      <c r="P200" s="2">
        <f>IF(199&lt;=$I$8, INDEX('Precios Diarios'!$A$2:$A$531, $G$8 - 1 + 199 - 1), NA())</f>
        <v/>
      </c>
      <c r="Q200">
        <f>IF(199&lt;=$I$8, INDEX('Precios Diarios'!$E$2:$E$531, $G$8 - 1 + 199 - 1), NA())</f>
        <v/>
      </c>
      <c r="R200">
        <f>IF(199&lt;=$I$8, INDEX('Precios Diarios'!$F$2:$F$531, $G$8 - 1 + 199 - 1), NA())</f>
        <v/>
      </c>
    </row>
    <row r="201">
      <c r="P201" s="2">
        <f>IF(200&lt;=$I$8, INDEX('Precios Diarios'!$A$2:$A$531, $G$8 - 1 + 200 - 1), NA())</f>
        <v/>
      </c>
      <c r="Q201">
        <f>IF(200&lt;=$I$8, INDEX('Precios Diarios'!$E$2:$E$531, $G$8 - 1 + 200 - 1), NA())</f>
        <v/>
      </c>
      <c r="R201">
        <f>IF(200&lt;=$I$8, INDEX('Precios Diarios'!$F$2:$F$531, $G$8 - 1 + 200 - 1), NA())</f>
        <v/>
      </c>
    </row>
    <row r="202">
      <c r="P202" s="2">
        <f>IF(201&lt;=$I$8, INDEX('Precios Diarios'!$A$2:$A$531, $G$8 - 1 + 201 - 1), NA())</f>
        <v/>
      </c>
      <c r="Q202">
        <f>IF(201&lt;=$I$8, INDEX('Precios Diarios'!$E$2:$E$531, $G$8 - 1 + 201 - 1), NA())</f>
        <v/>
      </c>
      <c r="R202">
        <f>IF(201&lt;=$I$8, INDEX('Precios Diarios'!$F$2:$F$531, $G$8 - 1 + 201 - 1), NA())</f>
        <v/>
      </c>
    </row>
    <row r="203">
      <c r="P203" s="2">
        <f>IF(202&lt;=$I$8, INDEX('Precios Diarios'!$A$2:$A$531, $G$8 - 1 + 202 - 1), NA())</f>
        <v/>
      </c>
      <c r="Q203">
        <f>IF(202&lt;=$I$8, INDEX('Precios Diarios'!$E$2:$E$531, $G$8 - 1 + 202 - 1), NA())</f>
        <v/>
      </c>
      <c r="R203">
        <f>IF(202&lt;=$I$8, INDEX('Precios Diarios'!$F$2:$F$531, $G$8 - 1 + 202 - 1), NA())</f>
        <v/>
      </c>
    </row>
    <row r="204">
      <c r="P204" s="2">
        <f>IF(203&lt;=$I$8, INDEX('Precios Diarios'!$A$2:$A$531, $G$8 - 1 + 203 - 1), NA())</f>
        <v/>
      </c>
      <c r="Q204">
        <f>IF(203&lt;=$I$8, INDEX('Precios Diarios'!$E$2:$E$531, $G$8 - 1 + 203 - 1), NA())</f>
        <v/>
      </c>
      <c r="R204">
        <f>IF(203&lt;=$I$8, INDEX('Precios Diarios'!$F$2:$F$531, $G$8 - 1 + 203 - 1), NA())</f>
        <v/>
      </c>
    </row>
    <row r="205">
      <c r="P205" s="2">
        <f>IF(204&lt;=$I$8, INDEX('Precios Diarios'!$A$2:$A$531, $G$8 - 1 + 204 - 1), NA())</f>
        <v/>
      </c>
      <c r="Q205">
        <f>IF(204&lt;=$I$8, INDEX('Precios Diarios'!$E$2:$E$531, $G$8 - 1 + 204 - 1), NA())</f>
        <v/>
      </c>
      <c r="R205">
        <f>IF(204&lt;=$I$8, INDEX('Precios Diarios'!$F$2:$F$531, $G$8 - 1 + 204 - 1), NA())</f>
        <v/>
      </c>
    </row>
    <row r="206">
      <c r="P206" s="2">
        <f>IF(205&lt;=$I$8, INDEX('Precios Diarios'!$A$2:$A$531, $G$8 - 1 + 205 - 1), NA())</f>
        <v/>
      </c>
      <c r="Q206">
        <f>IF(205&lt;=$I$8, INDEX('Precios Diarios'!$E$2:$E$531, $G$8 - 1 + 205 - 1), NA())</f>
        <v/>
      </c>
      <c r="R206">
        <f>IF(205&lt;=$I$8, INDEX('Precios Diarios'!$F$2:$F$531, $G$8 - 1 + 205 - 1), NA())</f>
        <v/>
      </c>
    </row>
    <row r="207">
      <c r="P207" s="2">
        <f>IF(206&lt;=$I$8, INDEX('Precios Diarios'!$A$2:$A$531, $G$8 - 1 + 206 - 1), NA())</f>
        <v/>
      </c>
      <c r="Q207">
        <f>IF(206&lt;=$I$8, INDEX('Precios Diarios'!$E$2:$E$531, $G$8 - 1 + 206 - 1), NA())</f>
        <v/>
      </c>
      <c r="R207">
        <f>IF(206&lt;=$I$8, INDEX('Precios Diarios'!$F$2:$F$531, $G$8 - 1 + 206 - 1), NA())</f>
        <v/>
      </c>
    </row>
    <row r="208">
      <c r="P208" s="2">
        <f>IF(207&lt;=$I$8, INDEX('Precios Diarios'!$A$2:$A$531, $G$8 - 1 + 207 - 1), NA())</f>
        <v/>
      </c>
      <c r="Q208">
        <f>IF(207&lt;=$I$8, INDEX('Precios Diarios'!$E$2:$E$531, $G$8 - 1 + 207 - 1), NA())</f>
        <v/>
      </c>
      <c r="R208">
        <f>IF(207&lt;=$I$8, INDEX('Precios Diarios'!$F$2:$F$531, $G$8 - 1 + 207 - 1), NA())</f>
        <v/>
      </c>
    </row>
    <row r="209">
      <c r="P209" s="2">
        <f>IF(208&lt;=$I$8, INDEX('Precios Diarios'!$A$2:$A$531, $G$8 - 1 + 208 - 1), NA())</f>
        <v/>
      </c>
      <c r="Q209">
        <f>IF(208&lt;=$I$8, INDEX('Precios Diarios'!$E$2:$E$531, $G$8 - 1 + 208 - 1), NA())</f>
        <v/>
      </c>
      <c r="R209">
        <f>IF(208&lt;=$I$8, INDEX('Precios Diarios'!$F$2:$F$531, $G$8 - 1 + 208 - 1), NA())</f>
        <v/>
      </c>
    </row>
    <row r="210">
      <c r="P210" s="2">
        <f>IF(209&lt;=$I$8, INDEX('Precios Diarios'!$A$2:$A$531, $G$8 - 1 + 209 - 1), NA())</f>
        <v/>
      </c>
      <c r="Q210">
        <f>IF(209&lt;=$I$8, INDEX('Precios Diarios'!$E$2:$E$531, $G$8 - 1 + 209 - 1), NA())</f>
        <v/>
      </c>
      <c r="R210">
        <f>IF(209&lt;=$I$8, INDEX('Precios Diarios'!$F$2:$F$531, $G$8 - 1 + 209 - 1), NA())</f>
        <v/>
      </c>
    </row>
    <row r="211">
      <c r="P211" s="2">
        <f>IF(210&lt;=$I$8, INDEX('Precios Diarios'!$A$2:$A$531, $G$8 - 1 + 210 - 1), NA())</f>
        <v/>
      </c>
      <c r="Q211">
        <f>IF(210&lt;=$I$8, INDEX('Precios Diarios'!$E$2:$E$531, $G$8 - 1 + 210 - 1), NA())</f>
        <v/>
      </c>
      <c r="R211">
        <f>IF(210&lt;=$I$8, INDEX('Precios Diarios'!$F$2:$F$531, $G$8 - 1 + 210 - 1), NA())</f>
        <v/>
      </c>
    </row>
    <row r="212">
      <c r="P212" s="2">
        <f>IF(211&lt;=$I$8, INDEX('Precios Diarios'!$A$2:$A$531, $G$8 - 1 + 211 - 1), NA())</f>
        <v/>
      </c>
      <c r="Q212">
        <f>IF(211&lt;=$I$8, INDEX('Precios Diarios'!$E$2:$E$531, $G$8 - 1 + 211 - 1), NA())</f>
        <v/>
      </c>
      <c r="R212">
        <f>IF(211&lt;=$I$8, INDEX('Precios Diarios'!$F$2:$F$531, $G$8 - 1 + 211 - 1), NA())</f>
        <v/>
      </c>
    </row>
    <row r="213">
      <c r="P213" s="2">
        <f>IF(212&lt;=$I$8, INDEX('Precios Diarios'!$A$2:$A$531, $G$8 - 1 + 212 - 1), NA())</f>
        <v/>
      </c>
      <c r="Q213">
        <f>IF(212&lt;=$I$8, INDEX('Precios Diarios'!$E$2:$E$531, $G$8 - 1 + 212 - 1), NA())</f>
        <v/>
      </c>
      <c r="R213">
        <f>IF(212&lt;=$I$8, INDEX('Precios Diarios'!$F$2:$F$531, $G$8 - 1 + 212 - 1), NA())</f>
        <v/>
      </c>
    </row>
    <row r="214">
      <c r="P214" s="2">
        <f>IF(213&lt;=$I$8, INDEX('Precios Diarios'!$A$2:$A$531, $G$8 - 1 + 213 - 1), NA())</f>
        <v/>
      </c>
      <c r="Q214">
        <f>IF(213&lt;=$I$8, INDEX('Precios Diarios'!$E$2:$E$531, $G$8 - 1 + 213 - 1), NA())</f>
        <v/>
      </c>
      <c r="R214">
        <f>IF(213&lt;=$I$8, INDEX('Precios Diarios'!$F$2:$F$531, $G$8 - 1 + 213 - 1), NA())</f>
        <v/>
      </c>
    </row>
    <row r="215">
      <c r="P215" s="2">
        <f>IF(214&lt;=$I$8, INDEX('Precios Diarios'!$A$2:$A$531, $G$8 - 1 + 214 - 1), NA())</f>
        <v/>
      </c>
      <c r="Q215">
        <f>IF(214&lt;=$I$8, INDEX('Precios Diarios'!$E$2:$E$531, $G$8 - 1 + 214 - 1), NA())</f>
        <v/>
      </c>
      <c r="R215">
        <f>IF(214&lt;=$I$8, INDEX('Precios Diarios'!$F$2:$F$531, $G$8 - 1 + 214 - 1), NA())</f>
        <v/>
      </c>
    </row>
    <row r="216">
      <c r="P216" s="2">
        <f>IF(215&lt;=$I$8, INDEX('Precios Diarios'!$A$2:$A$531, $G$8 - 1 + 215 - 1), NA())</f>
        <v/>
      </c>
      <c r="Q216">
        <f>IF(215&lt;=$I$8, INDEX('Precios Diarios'!$E$2:$E$531, $G$8 - 1 + 215 - 1), NA())</f>
        <v/>
      </c>
      <c r="R216">
        <f>IF(215&lt;=$I$8, INDEX('Precios Diarios'!$F$2:$F$531, $G$8 - 1 + 215 - 1), NA())</f>
        <v/>
      </c>
    </row>
    <row r="217">
      <c r="P217" s="2">
        <f>IF(216&lt;=$I$8, INDEX('Precios Diarios'!$A$2:$A$531, $G$8 - 1 + 216 - 1), NA())</f>
        <v/>
      </c>
      <c r="Q217">
        <f>IF(216&lt;=$I$8, INDEX('Precios Diarios'!$E$2:$E$531, $G$8 - 1 + 216 - 1), NA())</f>
        <v/>
      </c>
      <c r="R217">
        <f>IF(216&lt;=$I$8, INDEX('Precios Diarios'!$F$2:$F$531, $G$8 - 1 + 216 - 1), NA())</f>
        <v/>
      </c>
    </row>
    <row r="218">
      <c r="P218" s="2">
        <f>IF(217&lt;=$I$8, INDEX('Precios Diarios'!$A$2:$A$531, $G$8 - 1 + 217 - 1), NA())</f>
        <v/>
      </c>
      <c r="Q218">
        <f>IF(217&lt;=$I$8, INDEX('Precios Diarios'!$E$2:$E$531, $G$8 - 1 + 217 - 1), NA())</f>
        <v/>
      </c>
      <c r="R218">
        <f>IF(217&lt;=$I$8, INDEX('Precios Diarios'!$F$2:$F$531, $G$8 - 1 + 217 - 1), NA())</f>
        <v/>
      </c>
    </row>
    <row r="219">
      <c r="P219" s="2">
        <f>IF(218&lt;=$I$8, INDEX('Precios Diarios'!$A$2:$A$531, $G$8 - 1 + 218 - 1), NA())</f>
        <v/>
      </c>
      <c r="Q219">
        <f>IF(218&lt;=$I$8, INDEX('Precios Diarios'!$E$2:$E$531, $G$8 - 1 + 218 - 1), NA())</f>
        <v/>
      </c>
      <c r="R219">
        <f>IF(218&lt;=$I$8, INDEX('Precios Diarios'!$F$2:$F$531, $G$8 - 1 + 218 - 1), NA())</f>
        <v/>
      </c>
    </row>
    <row r="220">
      <c r="P220" s="2">
        <f>IF(219&lt;=$I$8, INDEX('Precios Diarios'!$A$2:$A$531, $G$8 - 1 + 219 - 1), NA())</f>
        <v/>
      </c>
      <c r="Q220">
        <f>IF(219&lt;=$I$8, INDEX('Precios Diarios'!$E$2:$E$531, $G$8 - 1 + 219 - 1), NA())</f>
        <v/>
      </c>
      <c r="R220">
        <f>IF(219&lt;=$I$8, INDEX('Precios Diarios'!$F$2:$F$531, $G$8 - 1 + 219 - 1), NA())</f>
        <v/>
      </c>
    </row>
    <row r="221">
      <c r="P221" s="2">
        <f>IF(220&lt;=$I$8, INDEX('Precios Diarios'!$A$2:$A$531, $G$8 - 1 + 220 - 1), NA())</f>
        <v/>
      </c>
      <c r="Q221">
        <f>IF(220&lt;=$I$8, INDEX('Precios Diarios'!$E$2:$E$531, $G$8 - 1 + 220 - 1), NA())</f>
        <v/>
      </c>
      <c r="R221">
        <f>IF(220&lt;=$I$8, INDEX('Precios Diarios'!$F$2:$F$531, $G$8 - 1 + 220 - 1), NA())</f>
        <v/>
      </c>
    </row>
    <row r="222">
      <c r="P222" s="2">
        <f>IF(221&lt;=$I$8, INDEX('Precios Diarios'!$A$2:$A$531, $G$8 - 1 + 221 - 1), NA())</f>
        <v/>
      </c>
      <c r="Q222">
        <f>IF(221&lt;=$I$8, INDEX('Precios Diarios'!$E$2:$E$531, $G$8 - 1 + 221 - 1), NA())</f>
        <v/>
      </c>
      <c r="R222">
        <f>IF(221&lt;=$I$8, INDEX('Precios Diarios'!$F$2:$F$531, $G$8 - 1 + 221 - 1), NA())</f>
        <v/>
      </c>
    </row>
    <row r="223">
      <c r="P223" s="2">
        <f>IF(222&lt;=$I$8, INDEX('Precios Diarios'!$A$2:$A$531, $G$8 - 1 + 222 - 1), NA())</f>
        <v/>
      </c>
      <c r="Q223">
        <f>IF(222&lt;=$I$8, INDEX('Precios Diarios'!$E$2:$E$531, $G$8 - 1 + 222 - 1), NA())</f>
        <v/>
      </c>
      <c r="R223">
        <f>IF(222&lt;=$I$8, INDEX('Precios Diarios'!$F$2:$F$531, $G$8 - 1 + 222 - 1), NA())</f>
        <v/>
      </c>
    </row>
    <row r="224">
      <c r="P224" s="2">
        <f>IF(223&lt;=$I$8, INDEX('Precios Diarios'!$A$2:$A$531, $G$8 - 1 + 223 - 1), NA())</f>
        <v/>
      </c>
      <c r="Q224">
        <f>IF(223&lt;=$I$8, INDEX('Precios Diarios'!$E$2:$E$531, $G$8 - 1 + 223 - 1), NA())</f>
        <v/>
      </c>
      <c r="R224">
        <f>IF(223&lt;=$I$8, INDEX('Precios Diarios'!$F$2:$F$531, $G$8 - 1 + 223 - 1), NA())</f>
        <v/>
      </c>
    </row>
    <row r="225">
      <c r="P225" s="2">
        <f>IF(224&lt;=$I$8, INDEX('Precios Diarios'!$A$2:$A$531, $G$8 - 1 + 224 - 1), NA())</f>
        <v/>
      </c>
      <c r="Q225">
        <f>IF(224&lt;=$I$8, INDEX('Precios Diarios'!$E$2:$E$531, $G$8 - 1 + 224 - 1), NA())</f>
        <v/>
      </c>
      <c r="R225">
        <f>IF(224&lt;=$I$8, INDEX('Precios Diarios'!$F$2:$F$531, $G$8 - 1 + 224 - 1), NA())</f>
        <v/>
      </c>
    </row>
    <row r="226">
      <c r="P226" s="2">
        <f>IF(225&lt;=$I$8, INDEX('Precios Diarios'!$A$2:$A$531, $G$8 - 1 + 225 - 1), NA())</f>
        <v/>
      </c>
      <c r="Q226">
        <f>IF(225&lt;=$I$8, INDEX('Precios Diarios'!$E$2:$E$531, $G$8 - 1 + 225 - 1), NA())</f>
        <v/>
      </c>
      <c r="R226">
        <f>IF(225&lt;=$I$8, INDEX('Precios Diarios'!$F$2:$F$531, $G$8 - 1 + 225 - 1), NA())</f>
        <v/>
      </c>
    </row>
    <row r="227">
      <c r="P227" s="2">
        <f>IF(226&lt;=$I$8, INDEX('Precios Diarios'!$A$2:$A$531, $G$8 - 1 + 226 - 1), NA())</f>
        <v/>
      </c>
      <c r="Q227">
        <f>IF(226&lt;=$I$8, INDEX('Precios Diarios'!$E$2:$E$531, $G$8 - 1 + 226 - 1), NA())</f>
        <v/>
      </c>
      <c r="R227">
        <f>IF(226&lt;=$I$8, INDEX('Precios Diarios'!$F$2:$F$531, $G$8 - 1 + 226 - 1), NA())</f>
        <v/>
      </c>
    </row>
    <row r="228">
      <c r="P228" s="2">
        <f>IF(227&lt;=$I$8, INDEX('Precios Diarios'!$A$2:$A$531, $G$8 - 1 + 227 - 1), NA())</f>
        <v/>
      </c>
      <c r="Q228">
        <f>IF(227&lt;=$I$8, INDEX('Precios Diarios'!$E$2:$E$531, $G$8 - 1 + 227 - 1), NA())</f>
        <v/>
      </c>
      <c r="R228">
        <f>IF(227&lt;=$I$8, INDEX('Precios Diarios'!$F$2:$F$531, $G$8 - 1 + 227 - 1), NA())</f>
        <v/>
      </c>
    </row>
    <row r="229">
      <c r="P229" s="2">
        <f>IF(228&lt;=$I$8, INDEX('Precios Diarios'!$A$2:$A$531, $G$8 - 1 + 228 - 1), NA())</f>
        <v/>
      </c>
      <c r="Q229">
        <f>IF(228&lt;=$I$8, INDEX('Precios Diarios'!$E$2:$E$531, $G$8 - 1 + 228 - 1), NA())</f>
        <v/>
      </c>
      <c r="R229">
        <f>IF(228&lt;=$I$8, INDEX('Precios Diarios'!$F$2:$F$531, $G$8 - 1 + 228 - 1), NA())</f>
        <v/>
      </c>
    </row>
    <row r="230">
      <c r="P230" s="2">
        <f>IF(229&lt;=$I$8, INDEX('Precios Diarios'!$A$2:$A$531, $G$8 - 1 + 229 - 1), NA())</f>
        <v/>
      </c>
      <c r="Q230">
        <f>IF(229&lt;=$I$8, INDEX('Precios Diarios'!$E$2:$E$531, $G$8 - 1 + 229 - 1), NA())</f>
        <v/>
      </c>
      <c r="R230">
        <f>IF(229&lt;=$I$8, INDEX('Precios Diarios'!$F$2:$F$531, $G$8 - 1 + 229 - 1), NA())</f>
        <v/>
      </c>
    </row>
    <row r="231">
      <c r="P231" s="2">
        <f>IF(230&lt;=$I$8, INDEX('Precios Diarios'!$A$2:$A$531, $G$8 - 1 + 230 - 1), NA())</f>
        <v/>
      </c>
      <c r="Q231">
        <f>IF(230&lt;=$I$8, INDEX('Precios Diarios'!$E$2:$E$531, $G$8 - 1 + 230 - 1), NA())</f>
        <v/>
      </c>
      <c r="R231">
        <f>IF(230&lt;=$I$8, INDEX('Precios Diarios'!$F$2:$F$531, $G$8 - 1 + 230 - 1), NA())</f>
        <v/>
      </c>
    </row>
    <row r="232">
      <c r="P232" s="2">
        <f>IF(231&lt;=$I$8, INDEX('Precios Diarios'!$A$2:$A$531, $G$8 - 1 + 231 - 1), NA())</f>
        <v/>
      </c>
      <c r="Q232">
        <f>IF(231&lt;=$I$8, INDEX('Precios Diarios'!$E$2:$E$531, $G$8 - 1 + 231 - 1), NA())</f>
        <v/>
      </c>
      <c r="R232">
        <f>IF(231&lt;=$I$8, INDEX('Precios Diarios'!$F$2:$F$531, $G$8 - 1 + 231 - 1), NA())</f>
        <v/>
      </c>
    </row>
    <row r="233">
      <c r="P233" s="2">
        <f>IF(232&lt;=$I$8, INDEX('Precios Diarios'!$A$2:$A$531, $G$8 - 1 + 232 - 1), NA())</f>
        <v/>
      </c>
      <c r="Q233">
        <f>IF(232&lt;=$I$8, INDEX('Precios Diarios'!$E$2:$E$531, $G$8 - 1 + 232 - 1), NA())</f>
        <v/>
      </c>
      <c r="R233">
        <f>IF(232&lt;=$I$8, INDEX('Precios Diarios'!$F$2:$F$531, $G$8 - 1 + 232 - 1), NA())</f>
        <v/>
      </c>
    </row>
    <row r="234">
      <c r="P234" s="2">
        <f>IF(233&lt;=$I$8, INDEX('Precios Diarios'!$A$2:$A$531, $G$8 - 1 + 233 - 1), NA())</f>
        <v/>
      </c>
      <c r="Q234">
        <f>IF(233&lt;=$I$8, INDEX('Precios Diarios'!$E$2:$E$531, $G$8 - 1 + 233 - 1), NA())</f>
        <v/>
      </c>
      <c r="R234">
        <f>IF(233&lt;=$I$8, INDEX('Precios Diarios'!$F$2:$F$531, $G$8 - 1 + 233 - 1), NA())</f>
        <v/>
      </c>
    </row>
    <row r="235">
      <c r="P235" s="2">
        <f>IF(234&lt;=$I$8, INDEX('Precios Diarios'!$A$2:$A$531, $G$8 - 1 + 234 - 1), NA())</f>
        <v/>
      </c>
      <c r="Q235">
        <f>IF(234&lt;=$I$8, INDEX('Precios Diarios'!$E$2:$E$531, $G$8 - 1 + 234 - 1), NA())</f>
        <v/>
      </c>
      <c r="R235">
        <f>IF(234&lt;=$I$8, INDEX('Precios Diarios'!$F$2:$F$531, $G$8 - 1 + 234 - 1), NA())</f>
        <v/>
      </c>
    </row>
    <row r="236">
      <c r="P236" s="2">
        <f>IF(235&lt;=$I$8, INDEX('Precios Diarios'!$A$2:$A$531, $G$8 - 1 + 235 - 1), NA())</f>
        <v/>
      </c>
      <c r="Q236">
        <f>IF(235&lt;=$I$8, INDEX('Precios Diarios'!$E$2:$E$531, $G$8 - 1 + 235 - 1), NA())</f>
        <v/>
      </c>
      <c r="R236">
        <f>IF(235&lt;=$I$8, INDEX('Precios Diarios'!$F$2:$F$531, $G$8 - 1 + 235 - 1), NA())</f>
        <v/>
      </c>
    </row>
    <row r="237">
      <c r="P237" s="2">
        <f>IF(236&lt;=$I$8, INDEX('Precios Diarios'!$A$2:$A$531, $G$8 - 1 + 236 - 1), NA())</f>
        <v/>
      </c>
      <c r="Q237">
        <f>IF(236&lt;=$I$8, INDEX('Precios Diarios'!$E$2:$E$531, $G$8 - 1 + 236 - 1), NA())</f>
        <v/>
      </c>
      <c r="R237">
        <f>IF(236&lt;=$I$8, INDEX('Precios Diarios'!$F$2:$F$531, $G$8 - 1 + 236 - 1), NA())</f>
        <v/>
      </c>
    </row>
    <row r="238">
      <c r="P238" s="2">
        <f>IF(237&lt;=$I$8, INDEX('Precios Diarios'!$A$2:$A$531, $G$8 - 1 + 237 - 1), NA())</f>
        <v/>
      </c>
      <c r="Q238">
        <f>IF(237&lt;=$I$8, INDEX('Precios Diarios'!$E$2:$E$531, $G$8 - 1 + 237 - 1), NA())</f>
        <v/>
      </c>
      <c r="R238">
        <f>IF(237&lt;=$I$8, INDEX('Precios Diarios'!$F$2:$F$531, $G$8 - 1 + 237 - 1), NA())</f>
        <v/>
      </c>
    </row>
    <row r="239">
      <c r="P239" s="2">
        <f>IF(238&lt;=$I$8, INDEX('Precios Diarios'!$A$2:$A$531, $G$8 - 1 + 238 - 1), NA())</f>
        <v/>
      </c>
      <c r="Q239">
        <f>IF(238&lt;=$I$8, INDEX('Precios Diarios'!$E$2:$E$531, $G$8 - 1 + 238 - 1), NA())</f>
        <v/>
      </c>
      <c r="R239">
        <f>IF(238&lt;=$I$8, INDEX('Precios Diarios'!$F$2:$F$531, $G$8 - 1 + 238 - 1), NA())</f>
        <v/>
      </c>
    </row>
    <row r="240">
      <c r="P240" s="2">
        <f>IF(239&lt;=$I$8, INDEX('Precios Diarios'!$A$2:$A$531, $G$8 - 1 + 239 - 1), NA())</f>
        <v/>
      </c>
      <c r="Q240">
        <f>IF(239&lt;=$I$8, INDEX('Precios Diarios'!$E$2:$E$531, $G$8 - 1 + 239 - 1), NA())</f>
        <v/>
      </c>
      <c r="R240">
        <f>IF(239&lt;=$I$8, INDEX('Precios Diarios'!$F$2:$F$531, $G$8 - 1 + 239 - 1), NA())</f>
        <v/>
      </c>
    </row>
    <row r="241">
      <c r="P241" s="2">
        <f>IF(240&lt;=$I$8, INDEX('Precios Diarios'!$A$2:$A$531, $G$8 - 1 + 240 - 1), NA())</f>
        <v/>
      </c>
      <c r="Q241">
        <f>IF(240&lt;=$I$8, INDEX('Precios Diarios'!$E$2:$E$531, $G$8 - 1 + 240 - 1), NA())</f>
        <v/>
      </c>
      <c r="R241">
        <f>IF(240&lt;=$I$8, INDEX('Precios Diarios'!$F$2:$F$531, $G$8 - 1 + 240 - 1), NA())</f>
        <v/>
      </c>
    </row>
    <row r="242">
      <c r="P242" s="2">
        <f>IF(241&lt;=$I$8, INDEX('Precios Diarios'!$A$2:$A$531, $G$8 - 1 + 241 - 1), NA())</f>
        <v/>
      </c>
      <c r="Q242">
        <f>IF(241&lt;=$I$8, INDEX('Precios Diarios'!$E$2:$E$531, $G$8 - 1 + 241 - 1), NA())</f>
        <v/>
      </c>
      <c r="R242">
        <f>IF(241&lt;=$I$8, INDEX('Precios Diarios'!$F$2:$F$531, $G$8 - 1 + 241 - 1), NA())</f>
        <v/>
      </c>
    </row>
    <row r="243">
      <c r="P243" s="2">
        <f>IF(242&lt;=$I$8, INDEX('Precios Diarios'!$A$2:$A$531, $G$8 - 1 + 242 - 1), NA())</f>
        <v/>
      </c>
      <c r="Q243">
        <f>IF(242&lt;=$I$8, INDEX('Precios Diarios'!$E$2:$E$531, $G$8 - 1 + 242 - 1), NA())</f>
        <v/>
      </c>
      <c r="R243">
        <f>IF(242&lt;=$I$8, INDEX('Precios Diarios'!$F$2:$F$531, $G$8 - 1 + 242 - 1), NA())</f>
        <v/>
      </c>
    </row>
    <row r="244">
      <c r="P244" s="2">
        <f>IF(243&lt;=$I$8, INDEX('Precios Diarios'!$A$2:$A$531, $G$8 - 1 + 243 - 1), NA())</f>
        <v/>
      </c>
      <c r="Q244">
        <f>IF(243&lt;=$I$8, INDEX('Precios Diarios'!$E$2:$E$531, $G$8 - 1 + 243 - 1), NA())</f>
        <v/>
      </c>
      <c r="R244">
        <f>IF(243&lt;=$I$8, INDEX('Precios Diarios'!$F$2:$F$531, $G$8 - 1 + 243 - 1), NA())</f>
        <v/>
      </c>
    </row>
    <row r="245">
      <c r="P245" s="2">
        <f>IF(244&lt;=$I$8, INDEX('Precios Diarios'!$A$2:$A$531, $G$8 - 1 + 244 - 1), NA())</f>
        <v/>
      </c>
      <c r="Q245">
        <f>IF(244&lt;=$I$8, INDEX('Precios Diarios'!$E$2:$E$531, $G$8 - 1 + 244 - 1), NA())</f>
        <v/>
      </c>
      <c r="R245">
        <f>IF(244&lt;=$I$8, INDEX('Precios Diarios'!$F$2:$F$531, $G$8 - 1 + 244 - 1), NA())</f>
        <v/>
      </c>
    </row>
    <row r="246">
      <c r="P246" s="2">
        <f>IF(245&lt;=$I$8, INDEX('Precios Diarios'!$A$2:$A$531, $G$8 - 1 + 245 - 1), NA())</f>
        <v/>
      </c>
      <c r="Q246">
        <f>IF(245&lt;=$I$8, INDEX('Precios Diarios'!$E$2:$E$531, $G$8 - 1 + 245 - 1), NA())</f>
        <v/>
      </c>
      <c r="R246">
        <f>IF(245&lt;=$I$8, INDEX('Precios Diarios'!$F$2:$F$531, $G$8 - 1 + 245 - 1), NA())</f>
        <v/>
      </c>
    </row>
    <row r="247">
      <c r="P247" s="2">
        <f>IF(246&lt;=$I$8, INDEX('Precios Diarios'!$A$2:$A$531, $G$8 - 1 + 246 - 1), NA())</f>
        <v/>
      </c>
      <c r="Q247">
        <f>IF(246&lt;=$I$8, INDEX('Precios Diarios'!$E$2:$E$531, $G$8 - 1 + 246 - 1), NA())</f>
        <v/>
      </c>
      <c r="R247">
        <f>IF(246&lt;=$I$8, INDEX('Precios Diarios'!$F$2:$F$531, $G$8 - 1 + 246 - 1), NA())</f>
        <v/>
      </c>
    </row>
    <row r="248">
      <c r="P248" s="2">
        <f>IF(247&lt;=$I$8, INDEX('Precios Diarios'!$A$2:$A$531, $G$8 - 1 + 247 - 1), NA())</f>
        <v/>
      </c>
      <c r="Q248">
        <f>IF(247&lt;=$I$8, INDEX('Precios Diarios'!$E$2:$E$531, $G$8 - 1 + 247 - 1), NA())</f>
        <v/>
      </c>
      <c r="R248">
        <f>IF(247&lt;=$I$8, INDEX('Precios Diarios'!$F$2:$F$531, $G$8 - 1 + 247 - 1), NA())</f>
        <v/>
      </c>
    </row>
    <row r="249">
      <c r="P249" s="2">
        <f>IF(248&lt;=$I$8, INDEX('Precios Diarios'!$A$2:$A$531, $G$8 - 1 + 248 - 1), NA())</f>
        <v/>
      </c>
      <c r="Q249">
        <f>IF(248&lt;=$I$8, INDEX('Precios Diarios'!$E$2:$E$531, $G$8 - 1 + 248 - 1), NA())</f>
        <v/>
      </c>
      <c r="R249">
        <f>IF(248&lt;=$I$8, INDEX('Precios Diarios'!$F$2:$F$531, $G$8 - 1 + 248 - 1), NA())</f>
        <v/>
      </c>
    </row>
    <row r="250">
      <c r="P250" s="2">
        <f>IF(249&lt;=$I$8, INDEX('Precios Diarios'!$A$2:$A$531, $G$8 - 1 + 249 - 1), NA())</f>
        <v/>
      </c>
      <c r="Q250">
        <f>IF(249&lt;=$I$8, INDEX('Precios Diarios'!$E$2:$E$531, $G$8 - 1 + 249 - 1), NA())</f>
        <v/>
      </c>
      <c r="R250">
        <f>IF(249&lt;=$I$8, INDEX('Precios Diarios'!$F$2:$F$531, $G$8 - 1 + 249 - 1), NA())</f>
        <v/>
      </c>
    </row>
    <row r="251">
      <c r="P251" s="2">
        <f>IF(250&lt;=$I$8, INDEX('Precios Diarios'!$A$2:$A$531, $G$8 - 1 + 250 - 1), NA())</f>
        <v/>
      </c>
      <c r="Q251">
        <f>IF(250&lt;=$I$8, INDEX('Precios Diarios'!$E$2:$E$531, $G$8 - 1 + 250 - 1), NA())</f>
        <v/>
      </c>
      <c r="R251">
        <f>IF(250&lt;=$I$8, INDEX('Precios Diarios'!$F$2:$F$531, $G$8 - 1 + 250 - 1), NA())</f>
        <v/>
      </c>
    </row>
    <row r="252">
      <c r="P252" s="2">
        <f>IF(251&lt;=$I$8, INDEX('Precios Diarios'!$A$2:$A$531, $G$8 - 1 + 251 - 1), NA())</f>
        <v/>
      </c>
      <c r="Q252">
        <f>IF(251&lt;=$I$8, INDEX('Precios Diarios'!$E$2:$E$531, $G$8 - 1 + 251 - 1), NA())</f>
        <v/>
      </c>
      <c r="R252">
        <f>IF(251&lt;=$I$8, INDEX('Precios Diarios'!$F$2:$F$531, $G$8 - 1 + 251 - 1), NA())</f>
        <v/>
      </c>
    </row>
    <row r="253">
      <c r="P253" s="2">
        <f>IF(252&lt;=$I$8, INDEX('Precios Diarios'!$A$2:$A$531, $G$8 - 1 + 252 - 1), NA())</f>
        <v/>
      </c>
      <c r="Q253">
        <f>IF(252&lt;=$I$8, INDEX('Precios Diarios'!$E$2:$E$531, $G$8 - 1 + 252 - 1), NA())</f>
        <v/>
      </c>
      <c r="R253">
        <f>IF(252&lt;=$I$8, INDEX('Precios Diarios'!$F$2:$F$531, $G$8 - 1 + 252 - 1), NA())</f>
        <v/>
      </c>
    </row>
    <row r="254">
      <c r="P254" s="2">
        <f>IF(253&lt;=$I$8, INDEX('Precios Diarios'!$A$2:$A$531, $G$8 - 1 + 253 - 1), NA())</f>
        <v/>
      </c>
      <c r="Q254">
        <f>IF(253&lt;=$I$8, INDEX('Precios Diarios'!$E$2:$E$531, $G$8 - 1 + 253 - 1), NA())</f>
        <v/>
      </c>
      <c r="R254">
        <f>IF(253&lt;=$I$8, INDEX('Precios Diarios'!$F$2:$F$531, $G$8 - 1 + 253 - 1), NA())</f>
        <v/>
      </c>
    </row>
    <row r="255">
      <c r="P255" s="2">
        <f>IF(254&lt;=$I$8, INDEX('Precios Diarios'!$A$2:$A$531, $G$8 - 1 + 254 - 1), NA())</f>
        <v/>
      </c>
      <c r="Q255">
        <f>IF(254&lt;=$I$8, INDEX('Precios Diarios'!$E$2:$E$531, $G$8 - 1 + 254 - 1), NA())</f>
        <v/>
      </c>
      <c r="R255">
        <f>IF(254&lt;=$I$8, INDEX('Precios Diarios'!$F$2:$F$531, $G$8 - 1 + 254 - 1), NA())</f>
        <v/>
      </c>
    </row>
    <row r="256">
      <c r="P256" s="2">
        <f>IF(255&lt;=$I$8, INDEX('Precios Diarios'!$A$2:$A$531, $G$8 - 1 + 255 - 1), NA())</f>
        <v/>
      </c>
      <c r="Q256">
        <f>IF(255&lt;=$I$8, INDEX('Precios Diarios'!$E$2:$E$531, $G$8 - 1 + 255 - 1), NA())</f>
        <v/>
      </c>
      <c r="R256">
        <f>IF(255&lt;=$I$8, INDEX('Precios Diarios'!$F$2:$F$531, $G$8 - 1 + 255 - 1), NA())</f>
        <v/>
      </c>
    </row>
    <row r="257">
      <c r="P257" s="2">
        <f>IF(256&lt;=$I$8, INDEX('Precios Diarios'!$A$2:$A$531, $G$8 - 1 + 256 - 1), NA())</f>
        <v/>
      </c>
      <c r="Q257">
        <f>IF(256&lt;=$I$8, INDEX('Precios Diarios'!$E$2:$E$531, $G$8 - 1 + 256 - 1), NA())</f>
        <v/>
      </c>
      <c r="R257">
        <f>IF(256&lt;=$I$8, INDEX('Precios Diarios'!$F$2:$F$531, $G$8 - 1 + 256 - 1), NA())</f>
        <v/>
      </c>
    </row>
    <row r="258">
      <c r="P258" s="2">
        <f>IF(257&lt;=$I$8, INDEX('Precios Diarios'!$A$2:$A$531, $G$8 - 1 + 257 - 1), NA())</f>
        <v/>
      </c>
      <c r="Q258">
        <f>IF(257&lt;=$I$8, INDEX('Precios Diarios'!$E$2:$E$531, $G$8 - 1 + 257 - 1), NA())</f>
        <v/>
      </c>
      <c r="R258">
        <f>IF(257&lt;=$I$8, INDEX('Precios Diarios'!$F$2:$F$531, $G$8 - 1 + 257 - 1), NA())</f>
        <v/>
      </c>
    </row>
    <row r="259">
      <c r="P259" s="2">
        <f>IF(258&lt;=$I$8, INDEX('Precios Diarios'!$A$2:$A$531, $G$8 - 1 + 258 - 1), NA())</f>
        <v/>
      </c>
      <c r="Q259">
        <f>IF(258&lt;=$I$8, INDEX('Precios Diarios'!$E$2:$E$531, $G$8 - 1 + 258 - 1), NA())</f>
        <v/>
      </c>
      <c r="R259">
        <f>IF(258&lt;=$I$8, INDEX('Precios Diarios'!$F$2:$F$531, $G$8 - 1 + 258 - 1), NA())</f>
        <v/>
      </c>
    </row>
    <row r="260">
      <c r="P260" s="2">
        <f>IF(259&lt;=$I$8, INDEX('Precios Diarios'!$A$2:$A$531, $G$8 - 1 + 259 - 1), NA())</f>
        <v/>
      </c>
      <c r="Q260">
        <f>IF(259&lt;=$I$8, INDEX('Precios Diarios'!$E$2:$E$531, $G$8 - 1 + 259 - 1), NA())</f>
        <v/>
      </c>
      <c r="R260">
        <f>IF(259&lt;=$I$8, INDEX('Precios Diarios'!$F$2:$F$531, $G$8 - 1 + 259 - 1), NA())</f>
        <v/>
      </c>
    </row>
    <row r="261">
      <c r="P261" s="2">
        <f>IF(260&lt;=$I$8, INDEX('Precios Diarios'!$A$2:$A$531, $G$8 - 1 + 260 - 1), NA())</f>
        <v/>
      </c>
      <c r="Q261">
        <f>IF(260&lt;=$I$8, INDEX('Precios Diarios'!$E$2:$E$531, $G$8 - 1 + 260 - 1), NA())</f>
        <v/>
      </c>
      <c r="R261">
        <f>IF(260&lt;=$I$8, INDEX('Precios Diarios'!$F$2:$F$531, $G$8 - 1 + 260 - 1), NA())</f>
        <v/>
      </c>
    </row>
    <row r="262">
      <c r="P262" s="2">
        <f>IF(261&lt;=$I$8, INDEX('Precios Diarios'!$A$2:$A$531, $G$8 - 1 + 261 - 1), NA())</f>
        <v/>
      </c>
      <c r="Q262">
        <f>IF(261&lt;=$I$8, INDEX('Precios Diarios'!$E$2:$E$531, $G$8 - 1 + 261 - 1), NA())</f>
        <v/>
      </c>
      <c r="R262">
        <f>IF(261&lt;=$I$8, INDEX('Precios Diarios'!$F$2:$F$531, $G$8 - 1 + 261 - 1), NA())</f>
        <v/>
      </c>
    </row>
    <row r="263">
      <c r="P263" s="2">
        <f>IF(262&lt;=$I$8, INDEX('Precios Diarios'!$A$2:$A$531, $G$8 - 1 + 262 - 1), NA())</f>
        <v/>
      </c>
      <c r="Q263">
        <f>IF(262&lt;=$I$8, INDEX('Precios Diarios'!$E$2:$E$531, $G$8 - 1 + 262 - 1), NA())</f>
        <v/>
      </c>
      <c r="R263">
        <f>IF(262&lt;=$I$8, INDEX('Precios Diarios'!$F$2:$F$531, $G$8 - 1 + 262 - 1), NA())</f>
        <v/>
      </c>
    </row>
    <row r="264">
      <c r="P264" s="2">
        <f>IF(263&lt;=$I$8, INDEX('Precios Diarios'!$A$2:$A$531, $G$8 - 1 + 263 - 1), NA())</f>
        <v/>
      </c>
      <c r="Q264">
        <f>IF(263&lt;=$I$8, INDEX('Precios Diarios'!$E$2:$E$531, $G$8 - 1 + 263 - 1), NA())</f>
        <v/>
      </c>
      <c r="R264">
        <f>IF(263&lt;=$I$8, INDEX('Precios Diarios'!$F$2:$F$531, $G$8 - 1 + 263 - 1), NA())</f>
        <v/>
      </c>
    </row>
    <row r="265">
      <c r="P265" s="2">
        <f>IF(264&lt;=$I$8, INDEX('Precios Diarios'!$A$2:$A$531, $G$8 - 1 + 264 - 1), NA())</f>
        <v/>
      </c>
      <c r="Q265">
        <f>IF(264&lt;=$I$8, INDEX('Precios Diarios'!$E$2:$E$531, $G$8 - 1 + 264 - 1), NA())</f>
        <v/>
      </c>
      <c r="R265">
        <f>IF(264&lt;=$I$8, INDEX('Precios Diarios'!$F$2:$F$531, $G$8 - 1 + 264 - 1), NA())</f>
        <v/>
      </c>
    </row>
    <row r="266">
      <c r="P266" s="2">
        <f>IF(265&lt;=$I$8, INDEX('Precios Diarios'!$A$2:$A$531, $G$8 - 1 + 265 - 1), NA())</f>
        <v/>
      </c>
      <c r="Q266">
        <f>IF(265&lt;=$I$8, INDEX('Precios Diarios'!$E$2:$E$531, $G$8 - 1 + 265 - 1), NA())</f>
        <v/>
      </c>
      <c r="R266">
        <f>IF(265&lt;=$I$8, INDEX('Precios Diarios'!$F$2:$F$531, $G$8 - 1 + 265 - 1), NA())</f>
        <v/>
      </c>
    </row>
    <row r="267">
      <c r="P267" s="2">
        <f>IF(266&lt;=$I$8, INDEX('Precios Diarios'!$A$2:$A$531, $G$8 - 1 + 266 - 1), NA())</f>
        <v/>
      </c>
      <c r="Q267">
        <f>IF(266&lt;=$I$8, INDEX('Precios Diarios'!$E$2:$E$531, $G$8 - 1 + 266 - 1), NA())</f>
        <v/>
      </c>
      <c r="R267">
        <f>IF(266&lt;=$I$8, INDEX('Precios Diarios'!$F$2:$F$531, $G$8 - 1 + 266 - 1), NA())</f>
        <v/>
      </c>
    </row>
    <row r="268">
      <c r="P268" s="2">
        <f>IF(267&lt;=$I$8, INDEX('Precios Diarios'!$A$2:$A$531, $G$8 - 1 + 267 - 1), NA())</f>
        <v/>
      </c>
      <c r="Q268">
        <f>IF(267&lt;=$I$8, INDEX('Precios Diarios'!$E$2:$E$531, $G$8 - 1 + 267 - 1), NA())</f>
        <v/>
      </c>
      <c r="R268">
        <f>IF(267&lt;=$I$8, INDEX('Precios Diarios'!$F$2:$F$531, $G$8 - 1 + 267 - 1), NA())</f>
        <v/>
      </c>
    </row>
    <row r="269">
      <c r="P269" s="2">
        <f>IF(268&lt;=$I$8, INDEX('Precios Diarios'!$A$2:$A$531, $G$8 - 1 + 268 - 1), NA())</f>
        <v/>
      </c>
      <c r="Q269">
        <f>IF(268&lt;=$I$8, INDEX('Precios Diarios'!$E$2:$E$531, $G$8 - 1 + 268 - 1), NA())</f>
        <v/>
      </c>
      <c r="R269">
        <f>IF(268&lt;=$I$8, INDEX('Precios Diarios'!$F$2:$F$531, $G$8 - 1 + 268 - 1), NA())</f>
        <v/>
      </c>
    </row>
    <row r="270">
      <c r="P270" s="2">
        <f>IF(269&lt;=$I$8, INDEX('Precios Diarios'!$A$2:$A$531, $G$8 - 1 + 269 - 1), NA())</f>
        <v/>
      </c>
      <c r="Q270">
        <f>IF(269&lt;=$I$8, INDEX('Precios Diarios'!$E$2:$E$531, $G$8 - 1 + 269 - 1), NA())</f>
        <v/>
      </c>
      <c r="R270">
        <f>IF(269&lt;=$I$8, INDEX('Precios Diarios'!$F$2:$F$531, $G$8 - 1 + 269 - 1), NA())</f>
        <v/>
      </c>
    </row>
    <row r="271">
      <c r="P271" s="2">
        <f>IF(270&lt;=$I$8, INDEX('Precios Diarios'!$A$2:$A$531, $G$8 - 1 + 270 - 1), NA())</f>
        <v/>
      </c>
      <c r="Q271">
        <f>IF(270&lt;=$I$8, INDEX('Precios Diarios'!$E$2:$E$531, $G$8 - 1 + 270 - 1), NA())</f>
        <v/>
      </c>
      <c r="R271">
        <f>IF(270&lt;=$I$8, INDEX('Precios Diarios'!$F$2:$F$531, $G$8 - 1 + 270 - 1), NA())</f>
        <v/>
      </c>
    </row>
    <row r="272">
      <c r="P272" s="2">
        <f>IF(271&lt;=$I$8, INDEX('Precios Diarios'!$A$2:$A$531, $G$8 - 1 + 271 - 1), NA())</f>
        <v/>
      </c>
      <c r="Q272">
        <f>IF(271&lt;=$I$8, INDEX('Precios Diarios'!$E$2:$E$531, $G$8 - 1 + 271 - 1), NA())</f>
        <v/>
      </c>
      <c r="R272">
        <f>IF(271&lt;=$I$8, INDEX('Precios Diarios'!$F$2:$F$531, $G$8 - 1 + 271 - 1), NA())</f>
        <v/>
      </c>
    </row>
    <row r="273">
      <c r="P273" s="2">
        <f>IF(272&lt;=$I$8, INDEX('Precios Diarios'!$A$2:$A$531, $G$8 - 1 + 272 - 1), NA())</f>
        <v/>
      </c>
      <c r="Q273">
        <f>IF(272&lt;=$I$8, INDEX('Precios Diarios'!$E$2:$E$531, $G$8 - 1 + 272 - 1), NA())</f>
        <v/>
      </c>
      <c r="R273">
        <f>IF(272&lt;=$I$8, INDEX('Precios Diarios'!$F$2:$F$531, $G$8 - 1 + 272 - 1), NA())</f>
        <v/>
      </c>
    </row>
    <row r="274">
      <c r="P274" s="2">
        <f>IF(273&lt;=$I$8, INDEX('Precios Diarios'!$A$2:$A$531, $G$8 - 1 + 273 - 1), NA())</f>
        <v/>
      </c>
      <c r="Q274">
        <f>IF(273&lt;=$I$8, INDEX('Precios Diarios'!$E$2:$E$531, $G$8 - 1 + 273 - 1), NA())</f>
        <v/>
      </c>
      <c r="R274">
        <f>IF(273&lt;=$I$8, INDEX('Precios Diarios'!$F$2:$F$531, $G$8 - 1 + 273 - 1), NA())</f>
        <v/>
      </c>
    </row>
    <row r="275">
      <c r="P275" s="2">
        <f>IF(274&lt;=$I$8, INDEX('Precios Diarios'!$A$2:$A$531, $G$8 - 1 + 274 - 1), NA())</f>
        <v/>
      </c>
      <c r="Q275">
        <f>IF(274&lt;=$I$8, INDEX('Precios Diarios'!$E$2:$E$531, $G$8 - 1 + 274 - 1), NA())</f>
        <v/>
      </c>
      <c r="R275">
        <f>IF(274&lt;=$I$8, INDEX('Precios Diarios'!$F$2:$F$531, $G$8 - 1 + 274 - 1), NA())</f>
        <v/>
      </c>
    </row>
    <row r="276">
      <c r="P276" s="2">
        <f>IF(275&lt;=$I$8, INDEX('Precios Diarios'!$A$2:$A$531, $G$8 - 1 + 275 - 1), NA())</f>
        <v/>
      </c>
      <c r="Q276">
        <f>IF(275&lt;=$I$8, INDEX('Precios Diarios'!$E$2:$E$531, $G$8 - 1 + 275 - 1), NA())</f>
        <v/>
      </c>
      <c r="R276">
        <f>IF(275&lt;=$I$8, INDEX('Precios Diarios'!$F$2:$F$531, $G$8 - 1 + 275 - 1), NA())</f>
        <v/>
      </c>
    </row>
    <row r="277">
      <c r="P277" s="2">
        <f>IF(276&lt;=$I$8, INDEX('Precios Diarios'!$A$2:$A$531, $G$8 - 1 + 276 - 1), NA())</f>
        <v/>
      </c>
      <c r="Q277">
        <f>IF(276&lt;=$I$8, INDEX('Precios Diarios'!$E$2:$E$531, $G$8 - 1 + 276 - 1), NA())</f>
        <v/>
      </c>
      <c r="R277">
        <f>IF(276&lt;=$I$8, INDEX('Precios Diarios'!$F$2:$F$531, $G$8 - 1 + 276 - 1), NA())</f>
        <v/>
      </c>
    </row>
    <row r="278">
      <c r="P278" s="2">
        <f>IF(277&lt;=$I$8, INDEX('Precios Diarios'!$A$2:$A$531, $G$8 - 1 + 277 - 1), NA())</f>
        <v/>
      </c>
      <c r="Q278">
        <f>IF(277&lt;=$I$8, INDEX('Precios Diarios'!$E$2:$E$531, $G$8 - 1 + 277 - 1), NA())</f>
        <v/>
      </c>
      <c r="R278">
        <f>IF(277&lt;=$I$8, INDEX('Precios Diarios'!$F$2:$F$531, $G$8 - 1 + 277 - 1), NA())</f>
        <v/>
      </c>
    </row>
    <row r="279">
      <c r="P279" s="2">
        <f>IF(278&lt;=$I$8, INDEX('Precios Diarios'!$A$2:$A$531, $G$8 - 1 + 278 - 1), NA())</f>
        <v/>
      </c>
      <c r="Q279">
        <f>IF(278&lt;=$I$8, INDEX('Precios Diarios'!$E$2:$E$531, $G$8 - 1 + 278 - 1), NA())</f>
        <v/>
      </c>
      <c r="R279">
        <f>IF(278&lt;=$I$8, INDEX('Precios Diarios'!$F$2:$F$531, $G$8 - 1 + 278 - 1), NA())</f>
        <v/>
      </c>
    </row>
    <row r="280">
      <c r="P280" s="2">
        <f>IF(279&lt;=$I$8, INDEX('Precios Diarios'!$A$2:$A$531, $G$8 - 1 + 279 - 1), NA())</f>
        <v/>
      </c>
      <c r="Q280">
        <f>IF(279&lt;=$I$8, INDEX('Precios Diarios'!$E$2:$E$531, $G$8 - 1 + 279 - 1), NA())</f>
        <v/>
      </c>
      <c r="R280">
        <f>IF(279&lt;=$I$8, INDEX('Precios Diarios'!$F$2:$F$531, $G$8 - 1 + 279 - 1), NA())</f>
        <v/>
      </c>
    </row>
    <row r="281">
      <c r="P281" s="2">
        <f>IF(280&lt;=$I$8, INDEX('Precios Diarios'!$A$2:$A$531, $G$8 - 1 + 280 - 1), NA())</f>
        <v/>
      </c>
      <c r="Q281">
        <f>IF(280&lt;=$I$8, INDEX('Precios Diarios'!$E$2:$E$531, $G$8 - 1 + 280 - 1), NA())</f>
        <v/>
      </c>
      <c r="R281">
        <f>IF(280&lt;=$I$8, INDEX('Precios Diarios'!$F$2:$F$531, $G$8 - 1 + 280 - 1), NA())</f>
        <v/>
      </c>
    </row>
    <row r="282">
      <c r="P282" s="2">
        <f>IF(281&lt;=$I$8, INDEX('Precios Diarios'!$A$2:$A$531, $G$8 - 1 + 281 - 1), NA())</f>
        <v/>
      </c>
      <c r="Q282">
        <f>IF(281&lt;=$I$8, INDEX('Precios Diarios'!$E$2:$E$531, $G$8 - 1 + 281 - 1), NA())</f>
        <v/>
      </c>
      <c r="R282">
        <f>IF(281&lt;=$I$8, INDEX('Precios Diarios'!$F$2:$F$531, $G$8 - 1 + 281 - 1), NA())</f>
        <v/>
      </c>
    </row>
    <row r="283">
      <c r="P283" s="2">
        <f>IF(282&lt;=$I$8, INDEX('Precios Diarios'!$A$2:$A$531, $G$8 - 1 + 282 - 1), NA())</f>
        <v/>
      </c>
      <c r="Q283">
        <f>IF(282&lt;=$I$8, INDEX('Precios Diarios'!$E$2:$E$531, $G$8 - 1 + 282 - 1), NA())</f>
        <v/>
      </c>
      <c r="R283">
        <f>IF(282&lt;=$I$8, INDEX('Precios Diarios'!$F$2:$F$531, $G$8 - 1 + 282 - 1), NA())</f>
        <v/>
      </c>
    </row>
    <row r="284">
      <c r="P284" s="2">
        <f>IF(283&lt;=$I$8, INDEX('Precios Diarios'!$A$2:$A$531, $G$8 - 1 + 283 - 1), NA())</f>
        <v/>
      </c>
      <c r="Q284">
        <f>IF(283&lt;=$I$8, INDEX('Precios Diarios'!$E$2:$E$531, $G$8 - 1 + 283 - 1), NA())</f>
        <v/>
      </c>
      <c r="R284">
        <f>IF(283&lt;=$I$8, INDEX('Precios Diarios'!$F$2:$F$531, $G$8 - 1 + 283 - 1), NA())</f>
        <v/>
      </c>
    </row>
    <row r="285">
      <c r="P285" s="2">
        <f>IF(284&lt;=$I$8, INDEX('Precios Diarios'!$A$2:$A$531, $G$8 - 1 + 284 - 1), NA())</f>
        <v/>
      </c>
      <c r="Q285">
        <f>IF(284&lt;=$I$8, INDEX('Precios Diarios'!$E$2:$E$531, $G$8 - 1 + 284 - 1), NA())</f>
        <v/>
      </c>
      <c r="R285">
        <f>IF(284&lt;=$I$8, INDEX('Precios Diarios'!$F$2:$F$531, $G$8 - 1 + 284 - 1), NA())</f>
        <v/>
      </c>
    </row>
    <row r="286">
      <c r="P286" s="2">
        <f>IF(285&lt;=$I$8, INDEX('Precios Diarios'!$A$2:$A$531, $G$8 - 1 + 285 - 1), NA())</f>
        <v/>
      </c>
      <c r="Q286">
        <f>IF(285&lt;=$I$8, INDEX('Precios Diarios'!$E$2:$E$531, $G$8 - 1 + 285 - 1), NA())</f>
        <v/>
      </c>
      <c r="R286">
        <f>IF(285&lt;=$I$8, INDEX('Precios Diarios'!$F$2:$F$531, $G$8 - 1 + 285 - 1), NA())</f>
        <v/>
      </c>
    </row>
    <row r="287">
      <c r="P287" s="2">
        <f>IF(286&lt;=$I$8, INDEX('Precios Diarios'!$A$2:$A$531, $G$8 - 1 + 286 - 1), NA())</f>
        <v/>
      </c>
      <c r="Q287">
        <f>IF(286&lt;=$I$8, INDEX('Precios Diarios'!$E$2:$E$531, $G$8 - 1 + 286 - 1), NA())</f>
        <v/>
      </c>
      <c r="R287">
        <f>IF(286&lt;=$I$8, INDEX('Precios Diarios'!$F$2:$F$531, $G$8 - 1 + 286 - 1), NA())</f>
        <v/>
      </c>
    </row>
    <row r="288">
      <c r="P288" s="2">
        <f>IF(287&lt;=$I$8, INDEX('Precios Diarios'!$A$2:$A$531, $G$8 - 1 + 287 - 1), NA())</f>
        <v/>
      </c>
      <c r="Q288">
        <f>IF(287&lt;=$I$8, INDEX('Precios Diarios'!$E$2:$E$531, $G$8 - 1 + 287 - 1), NA())</f>
        <v/>
      </c>
      <c r="R288">
        <f>IF(287&lt;=$I$8, INDEX('Precios Diarios'!$F$2:$F$531, $G$8 - 1 + 287 - 1), NA())</f>
        <v/>
      </c>
    </row>
    <row r="289">
      <c r="P289" s="2">
        <f>IF(288&lt;=$I$8, INDEX('Precios Diarios'!$A$2:$A$531, $G$8 - 1 + 288 - 1), NA())</f>
        <v/>
      </c>
      <c r="Q289">
        <f>IF(288&lt;=$I$8, INDEX('Precios Diarios'!$E$2:$E$531, $G$8 - 1 + 288 - 1), NA())</f>
        <v/>
      </c>
      <c r="R289">
        <f>IF(288&lt;=$I$8, INDEX('Precios Diarios'!$F$2:$F$531, $G$8 - 1 + 288 - 1), NA())</f>
        <v/>
      </c>
    </row>
    <row r="290">
      <c r="P290" s="2">
        <f>IF(289&lt;=$I$8, INDEX('Precios Diarios'!$A$2:$A$531, $G$8 - 1 + 289 - 1), NA())</f>
        <v/>
      </c>
      <c r="Q290">
        <f>IF(289&lt;=$I$8, INDEX('Precios Diarios'!$E$2:$E$531, $G$8 - 1 + 289 - 1), NA())</f>
        <v/>
      </c>
      <c r="R290">
        <f>IF(289&lt;=$I$8, INDEX('Precios Diarios'!$F$2:$F$531, $G$8 - 1 + 289 - 1), NA())</f>
        <v/>
      </c>
    </row>
    <row r="291">
      <c r="P291" s="2">
        <f>IF(290&lt;=$I$8, INDEX('Precios Diarios'!$A$2:$A$531, $G$8 - 1 + 290 - 1), NA())</f>
        <v/>
      </c>
      <c r="Q291">
        <f>IF(290&lt;=$I$8, INDEX('Precios Diarios'!$E$2:$E$531, $G$8 - 1 + 290 - 1), NA())</f>
        <v/>
      </c>
      <c r="R291">
        <f>IF(290&lt;=$I$8, INDEX('Precios Diarios'!$F$2:$F$531, $G$8 - 1 + 290 - 1), NA())</f>
        <v/>
      </c>
    </row>
    <row r="292">
      <c r="P292" s="2">
        <f>IF(291&lt;=$I$8, INDEX('Precios Diarios'!$A$2:$A$531, $G$8 - 1 + 291 - 1), NA())</f>
        <v/>
      </c>
      <c r="Q292">
        <f>IF(291&lt;=$I$8, INDEX('Precios Diarios'!$E$2:$E$531, $G$8 - 1 + 291 - 1), NA())</f>
        <v/>
      </c>
      <c r="R292">
        <f>IF(291&lt;=$I$8, INDEX('Precios Diarios'!$F$2:$F$531, $G$8 - 1 + 291 - 1), NA())</f>
        <v/>
      </c>
    </row>
    <row r="293">
      <c r="P293" s="2">
        <f>IF(292&lt;=$I$8, INDEX('Precios Diarios'!$A$2:$A$531, $G$8 - 1 + 292 - 1), NA())</f>
        <v/>
      </c>
      <c r="Q293">
        <f>IF(292&lt;=$I$8, INDEX('Precios Diarios'!$E$2:$E$531, $G$8 - 1 + 292 - 1), NA())</f>
        <v/>
      </c>
      <c r="R293">
        <f>IF(292&lt;=$I$8, INDEX('Precios Diarios'!$F$2:$F$531, $G$8 - 1 + 292 - 1), NA())</f>
        <v/>
      </c>
    </row>
    <row r="294">
      <c r="P294" s="2">
        <f>IF(293&lt;=$I$8, INDEX('Precios Diarios'!$A$2:$A$531, $G$8 - 1 + 293 - 1), NA())</f>
        <v/>
      </c>
      <c r="Q294">
        <f>IF(293&lt;=$I$8, INDEX('Precios Diarios'!$E$2:$E$531, $G$8 - 1 + 293 - 1), NA())</f>
        <v/>
      </c>
      <c r="R294">
        <f>IF(293&lt;=$I$8, INDEX('Precios Diarios'!$F$2:$F$531, $G$8 - 1 + 293 - 1), NA())</f>
        <v/>
      </c>
    </row>
    <row r="295">
      <c r="P295" s="2">
        <f>IF(294&lt;=$I$8, INDEX('Precios Diarios'!$A$2:$A$531, $G$8 - 1 + 294 - 1), NA())</f>
        <v/>
      </c>
      <c r="Q295">
        <f>IF(294&lt;=$I$8, INDEX('Precios Diarios'!$E$2:$E$531, $G$8 - 1 + 294 - 1), NA())</f>
        <v/>
      </c>
      <c r="R295">
        <f>IF(294&lt;=$I$8, INDEX('Precios Diarios'!$F$2:$F$531, $G$8 - 1 + 294 - 1), NA())</f>
        <v/>
      </c>
    </row>
    <row r="296">
      <c r="P296" s="2">
        <f>IF(295&lt;=$I$8, INDEX('Precios Diarios'!$A$2:$A$531, $G$8 - 1 + 295 - 1), NA())</f>
        <v/>
      </c>
      <c r="Q296">
        <f>IF(295&lt;=$I$8, INDEX('Precios Diarios'!$E$2:$E$531, $G$8 - 1 + 295 - 1), NA())</f>
        <v/>
      </c>
      <c r="R296">
        <f>IF(295&lt;=$I$8, INDEX('Precios Diarios'!$F$2:$F$531, $G$8 - 1 + 295 - 1), NA())</f>
        <v/>
      </c>
    </row>
    <row r="297">
      <c r="P297" s="2">
        <f>IF(296&lt;=$I$8, INDEX('Precios Diarios'!$A$2:$A$531, $G$8 - 1 + 296 - 1), NA())</f>
        <v/>
      </c>
      <c r="Q297">
        <f>IF(296&lt;=$I$8, INDEX('Precios Diarios'!$E$2:$E$531, $G$8 - 1 + 296 - 1), NA())</f>
        <v/>
      </c>
      <c r="R297">
        <f>IF(296&lt;=$I$8, INDEX('Precios Diarios'!$F$2:$F$531, $G$8 - 1 + 296 - 1), NA())</f>
        <v/>
      </c>
    </row>
    <row r="298">
      <c r="P298" s="2">
        <f>IF(297&lt;=$I$8, INDEX('Precios Diarios'!$A$2:$A$531, $G$8 - 1 + 297 - 1), NA())</f>
        <v/>
      </c>
      <c r="Q298">
        <f>IF(297&lt;=$I$8, INDEX('Precios Diarios'!$E$2:$E$531, $G$8 - 1 + 297 - 1), NA())</f>
        <v/>
      </c>
      <c r="R298">
        <f>IF(297&lt;=$I$8, INDEX('Precios Diarios'!$F$2:$F$531, $G$8 - 1 + 297 - 1), NA())</f>
        <v/>
      </c>
    </row>
    <row r="299">
      <c r="P299" s="2">
        <f>IF(298&lt;=$I$8, INDEX('Precios Diarios'!$A$2:$A$531, $G$8 - 1 + 298 - 1), NA())</f>
        <v/>
      </c>
      <c r="Q299">
        <f>IF(298&lt;=$I$8, INDEX('Precios Diarios'!$E$2:$E$531, $G$8 - 1 + 298 - 1), NA())</f>
        <v/>
      </c>
      <c r="R299">
        <f>IF(298&lt;=$I$8, INDEX('Precios Diarios'!$F$2:$F$531, $G$8 - 1 + 298 - 1), NA())</f>
        <v/>
      </c>
    </row>
    <row r="300">
      <c r="P300" s="2">
        <f>IF(299&lt;=$I$8, INDEX('Precios Diarios'!$A$2:$A$531, $G$8 - 1 + 299 - 1), NA())</f>
        <v/>
      </c>
      <c r="Q300">
        <f>IF(299&lt;=$I$8, INDEX('Precios Diarios'!$E$2:$E$531, $G$8 - 1 + 299 - 1), NA())</f>
        <v/>
      </c>
      <c r="R300">
        <f>IF(299&lt;=$I$8, INDEX('Precios Diarios'!$F$2:$F$531, $G$8 - 1 + 299 - 1), NA())</f>
        <v/>
      </c>
    </row>
    <row r="301">
      <c r="P301" s="2">
        <f>IF(300&lt;=$I$8, INDEX('Precios Diarios'!$A$2:$A$531, $G$8 - 1 + 300 - 1), NA())</f>
        <v/>
      </c>
      <c r="Q301">
        <f>IF(300&lt;=$I$8, INDEX('Precios Diarios'!$E$2:$E$531, $G$8 - 1 + 300 - 1), NA())</f>
        <v/>
      </c>
      <c r="R301">
        <f>IF(300&lt;=$I$8, INDEX('Precios Diarios'!$F$2:$F$531, $G$8 - 1 + 300 - 1), NA())</f>
        <v/>
      </c>
    </row>
    <row r="302">
      <c r="P302" s="2">
        <f>IF(301&lt;=$I$8, INDEX('Precios Diarios'!$A$2:$A$531, $G$8 - 1 + 301 - 1), NA())</f>
        <v/>
      </c>
      <c r="Q302">
        <f>IF(301&lt;=$I$8, INDEX('Precios Diarios'!$E$2:$E$531, $G$8 - 1 + 301 - 1), NA())</f>
        <v/>
      </c>
      <c r="R302">
        <f>IF(301&lt;=$I$8, INDEX('Precios Diarios'!$F$2:$F$531, $G$8 - 1 + 301 - 1), NA())</f>
        <v/>
      </c>
    </row>
    <row r="303">
      <c r="P303" s="2">
        <f>IF(302&lt;=$I$8, INDEX('Precios Diarios'!$A$2:$A$531, $G$8 - 1 + 302 - 1), NA())</f>
        <v/>
      </c>
      <c r="Q303">
        <f>IF(302&lt;=$I$8, INDEX('Precios Diarios'!$E$2:$E$531, $G$8 - 1 + 302 - 1), NA())</f>
        <v/>
      </c>
      <c r="R303">
        <f>IF(302&lt;=$I$8, INDEX('Precios Diarios'!$F$2:$F$531, $G$8 - 1 + 302 - 1), NA())</f>
        <v/>
      </c>
    </row>
    <row r="304">
      <c r="P304" s="2">
        <f>IF(303&lt;=$I$8, INDEX('Precios Diarios'!$A$2:$A$531, $G$8 - 1 + 303 - 1), NA())</f>
        <v/>
      </c>
      <c r="Q304">
        <f>IF(303&lt;=$I$8, INDEX('Precios Diarios'!$E$2:$E$531, $G$8 - 1 + 303 - 1), NA())</f>
        <v/>
      </c>
      <c r="R304">
        <f>IF(303&lt;=$I$8, INDEX('Precios Diarios'!$F$2:$F$531, $G$8 - 1 + 303 - 1), NA())</f>
        <v/>
      </c>
    </row>
    <row r="305">
      <c r="P305" s="2">
        <f>IF(304&lt;=$I$8, INDEX('Precios Diarios'!$A$2:$A$531, $G$8 - 1 + 304 - 1), NA())</f>
        <v/>
      </c>
      <c r="Q305">
        <f>IF(304&lt;=$I$8, INDEX('Precios Diarios'!$E$2:$E$531, $G$8 - 1 + 304 - 1), NA())</f>
        <v/>
      </c>
      <c r="R305">
        <f>IF(304&lt;=$I$8, INDEX('Precios Diarios'!$F$2:$F$531, $G$8 - 1 + 304 - 1), NA())</f>
        <v/>
      </c>
    </row>
    <row r="306">
      <c r="P306" s="2">
        <f>IF(305&lt;=$I$8, INDEX('Precios Diarios'!$A$2:$A$531, $G$8 - 1 + 305 - 1), NA())</f>
        <v/>
      </c>
      <c r="Q306">
        <f>IF(305&lt;=$I$8, INDEX('Precios Diarios'!$E$2:$E$531, $G$8 - 1 + 305 - 1), NA())</f>
        <v/>
      </c>
      <c r="R306">
        <f>IF(305&lt;=$I$8, INDEX('Precios Diarios'!$F$2:$F$531, $G$8 - 1 + 305 - 1), NA())</f>
        <v/>
      </c>
    </row>
    <row r="307">
      <c r="P307" s="2">
        <f>IF(306&lt;=$I$8, INDEX('Precios Diarios'!$A$2:$A$531, $G$8 - 1 + 306 - 1), NA())</f>
        <v/>
      </c>
      <c r="Q307">
        <f>IF(306&lt;=$I$8, INDEX('Precios Diarios'!$E$2:$E$531, $G$8 - 1 + 306 - 1), NA())</f>
        <v/>
      </c>
      <c r="R307">
        <f>IF(306&lt;=$I$8, INDEX('Precios Diarios'!$F$2:$F$531, $G$8 - 1 + 306 - 1), NA())</f>
        <v/>
      </c>
    </row>
    <row r="308">
      <c r="P308" s="2">
        <f>IF(307&lt;=$I$8, INDEX('Precios Diarios'!$A$2:$A$531, $G$8 - 1 + 307 - 1), NA())</f>
        <v/>
      </c>
      <c r="Q308">
        <f>IF(307&lt;=$I$8, INDEX('Precios Diarios'!$E$2:$E$531, $G$8 - 1 + 307 - 1), NA())</f>
        <v/>
      </c>
      <c r="R308">
        <f>IF(307&lt;=$I$8, INDEX('Precios Diarios'!$F$2:$F$531, $G$8 - 1 + 307 - 1), NA())</f>
        <v/>
      </c>
    </row>
    <row r="309">
      <c r="P309" s="2">
        <f>IF(308&lt;=$I$8, INDEX('Precios Diarios'!$A$2:$A$531, $G$8 - 1 + 308 - 1), NA())</f>
        <v/>
      </c>
      <c r="Q309">
        <f>IF(308&lt;=$I$8, INDEX('Precios Diarios'!$E$2:$E$531, $G$8 - 1 + 308 - 1), NA())</f>
        <v/>
      </c>
      <c r="R309">
        <f>IF(308&lt;=$I$8, INDEX('Precios Diarios'!$F$2:$F$531, $G$8 - 1 + 308 - 1), NA())</f>
        <v/>
      </c>
    </row>
    <row r="310">
      <c r="P310" s="2">
        <f>IF(309&lt;=$I$8, INDEX('Precios Diarios'!$A$2:$A$531, $G$8 - 1 + 309 - 1), NA())</f>
        <v/>
      </c>
      <c r="Q310">
        <f>IF(309&lt;=$I$8, INDEX('Precios Diarios'!$E$2:$E$531, $G$8 - 1 + 309 - 1), NA())</f>
        <v/>
      </c>
      <c r="R310">
        <f>IF(309&lt;=$I$8, INDEX('Precios Diarios'!$F$2:$F$531, $G$8 - 1 + 309 - 1), NA())</f>
        <v/>
      </c>
    </row>
    <row r="311">
      <c r="P311" s="2">
        <f>IF(310&lt;=$I$8, INDEX('Precios Diarios'!$A$2:$A$531, $G$8 - 1 + 310 - 1), NA())</f>
        <v/>
      </c>
      <c r="Q311">
        <f>IF(310&lt;=$I$8, INDEX('Precios Diarios'!$E$2:$E$531, $G$8 - 1 + 310 - 1), NA())</f>
        <v/>
      </c>
      <c r="R311">
        <f>IF(310&lt;=$I$8, INDEX('Precios Diarios'!$F$2:$F$531, $G$8 - 1 + 310 - 1), NA())</f>
        <v/>
      </c>
    </row>
    <row r="312">
      <c r="P312" s="2">
        <f>IF(311&lt;=$I$8, INDEX('Precios Diarios'!$A$2:$A$531, $G$8 - 1 + 311 - 1), NA())</f>
        <v/>
      </c>
      <c r="Q312">
        <f>IF(311&lt;=$I$8, INDEX('Precios Diarios'!$E$2:$E$531, $G$8 - 1 + 311 - 1), NA())</f>
        <v/>
      </c>
      <c r="R312">
        <f>IF(311&lt;=$I$8, INDEX('Precios Diarios'!$F$2:$F$531, $G$8 - 1 + 311 - 1), NA())</f>
        <v/>
      </c>
    </row>
    <row r="313">
      <c r="P313" s="2">
        <f>IF(312&lt;=$I$8, INDEX('Precios Diarios'!$A$2:$A$531, $G$8 - 1 + 312 - 1), NA())</f>
        <v/>
      </c>
      <c r="Q313">
        <f>IF(312&lt;=$I$8, INDEX('Precios Diarios'!$E$2:$E$531, $G$8 - 1 + 312 - 1), NA())</f>
        <v/>
      </c>
      <c r="R313">
        <f>IF(312&lt;=$I$8, INDEX('Precios Diarios'!$F$2:$F$531, $G$8 - 1 + 312 - 1), NA())</f>
        <v/>
      </c>
    </row>
    <row r="314">
      <c r="P314" s="2">
        <f>IF(313&lt;=$I$8, INDEX('Precios Diarios'!$A$2:$A$531, $G$8 - 1 + 313 - 1), NA())</f>
        <v/>
      </c>
      <c r="Q314">
        <f>IF(313&lt;=$I$8, INDEX('Precios Diarios'!$E$2:$E$531, $G$8 - 1 + 313 - 1), NA())</f>
        <v/>
      </c>
      <c r="R314">
        <f>IF(313&lt;=$I$8, INDEX('Precios Diarios'!$F$2:$F$531, $G$8 - 1 + 313 - 1), NA())</f>
        <v/>
      </c>
    </row>
    <row r="315">
      <c r="P315" s="2">
        <f>IF(314&lt;=$I$8, INDEX('Precios Diarios'!$A$2:$A$531, $G$8 - 1 + 314 - 1), NA())</f>
        <v/>
      </c>
      <c r="Q315">
        <f>IF(314&lt;=$I$8, INDEX('Precios Diarios'!$E$2:$E$531, $G$8 - 1 + 314 - 1), NA())</f>
        <v/>
      </c>
      <c r="R315">
        <f>IF(314&lt;=$I$8, INDEX('Precios Diarios'!$F$2:$F$531, $G$8 - 1 + 314 - 1), NA())</f>
        <v/>
      </c>
    </row>
    <row r="316">
      <c r="P316" s="2">
        <f>IF(315&lt;=$I$8, INDEX('Precios Diarios'!$A$2:$A$531, $G$8 - 1 + 315 - 1), NA())</f>
        <v/>
      </c>
      <c r="Q316">
        <f>IF(315&lt;=$I$8, INDEX('Precios Diarios'!$E$2:$E$531, $G$8 - 1 + 315 - 1), NA())</f>
        <v/>
      </c>
      <c r="R316">
        <f>IF(315&lt;=$I$8, INDEX('Precios Diarios'!$F$2:$F$531, $G$8 - 1 + 315 - 1), NA())</f>
        <v/>
      </c>
    </row>
    <row r="317">
      <c r="P317" s="2">
        <f>IF(316&lt;=$I$8, INDEX('Precios Diarios'!$A$2:$A$531, $G$8 - 1 + 316 - 1), NA())</f>
        <v/>
      </c>
      <c r="Q317">
        <f>IF(316&lt;=$I$8, INDEX('Precios Diarios'!$E$2:$E$531, $G$8 - 1 + 316 - 1), NA())</f>
        <v/>
      </c>
      <c r="R317">
        <f>IF(316&lt;=$I$8, INDEX('Precios Diarios'!$F$2:$F$531, $G$8 - 1 + 316 - 1), NA())</f>
        <v/>
      </c>
    </row>
    <row r="318">
      <c r="P318" s="2">
        <f>IF(317&lt;=$I$8, INDEX('Precios Diarios'!$A$2:$A$531, $G$8 - 1 + 317 - 1), NA())</f>
        <v/>
      </c>
      <c r="Q318">
        <f>IF(317&lt;=$I$8, INDEX('Precios Diarios'!$E$2:$E$531, $G$8 - 1 + 317 - 1), NA())</f>
        <v/>
      </c>
      <c r="R318">
        <f>IF(317&lt;=$I$8, INDEX('Precios Diarios'!$F$2:$F$531, $G$8 - 1 + 317 - 1), NA())</f>
        <v/>
      </c>
    </row>
    <row r="319">
      <c r="P319" s="2">
        <f>IF(318&lt;=$I$8, INDEX('Precios Diarios'!$A$2:$A$531, $G$8 - 1 + 318 - 1), NA())</f>
        <v/>
      </c>
      <c r="Q319">
        <f>IF(318&lt;=$I$8, INDEX('Precios Diarios'!$E$2:$E$531, $G$8 - 1 + 318 - 1), NA())</f>
        <v/>
      </c>
      <c r="R319">
        <f>IF(318&lt;=$I$8, INDEX('Precios Diarios'!$F$2:$F$531, $G$8 - 1 + 318 - 1), NA())</f>
        <v/>
      </c>
    </row>
    <row r="320">
      <c r="P320" s="2">
        <f>IF(319&lt;=$I$8, INDEX('Precios Diarios'!$A$2:$A$531, $G$8 - 1 + 319 - 1), NA())</f>
        <v/>
      </c>
      <c r="Q320">
        <f>IF(319&lt;=$I$8, INDEX('Precios Diarios'!$E$2:$E$531, $G$8 - 1 + 319 - 1), NA())</f>
        <v/>
      </c>
      <c r="R320">
        <f>IF(319&lt;=$I$8, INDEX('Precios Diarios'!$F$2:$F$531, $G$8 - 1 + 319 - 1), NA())</f>
        <v/>
      </c>
    </row>
    <row r="321">
      <c r="P321" s="2">
        <f>IF(320&lt;=$I$8, INDEX('Precios Diarios'!$A$2:$A$531, $G$8 - 1 + 320 - 1), NA())</f>
        <v/>
      </c>
      <c r="Q321">
        <f>IF(320&lt;=$I$8, INDEX('Precios Diarios'!$E$2:$E$531, $G$8 - 1 + 320 - 1), NA())</f>
        <v/>
      </c>
      <c r="R321">
        <f>IF(320&lt;=$I$8, INDEX('Precios Diarios'!$F$2:$F$531, $G$8 - 1 + 320 - 1), NA())</f>
        <v/>
      </c>
    </row>
    <row r="322">
      <c r="P322" s="2">
        <f>IF(321&lt;=$I$8, INDEX('Precios Diarios'!$A$2:$A$531, $G$8 - 1 + 321 - 1), NA())</f>
        <v/>
      </c>
      <c r="Q322">
        <f>IF(321&lt;=$I$8, INDEX('Precios Diarios'!$E$2:$E$531, $G$8 - 1 + 321 - 1), NA())</f>
        <v/>
      </c>
      <c r="R322">
        <f>IF(321&lt;=$I$8, INDEX('Precios Diarios'!$F$2:$F$531, $G$8 - 1 + 321 - 1), NA())</f>
        <v/>
      </c>
    </row>
    <row r="323">
      <c r="P323" s="2">
        <f>IF(322&lt;=$I$8, INDEX('Precios Diarios'!$A$2:$A$531, $G$8 - 1 + 322 - 1), NA())</f>
        <v/>
      </c>
      <c r="Q323">
        <f>IF(322&lt;=$I$8, INDEX('Precios Diarios'!$E$2:$E$531, $G$8 - 1 + 322 - 1), NA())</f>
        <v/>
      </c>
      <c r="R323">
        <f>IF(322&lt;=$I$8, INDEX('Precios Diarios'!$F$2:$F$531, $G$8 - 1 + 322 - 1), NA())</f>
        <v/>
      </c>
    </row>
    <row r="324">
      <c r="P324" s="2">
        <f>IF(323&lt;=$I$8, INDEX('Precios Diarios'!$A$2:$A$531, $G$8 - 1 + 323 - 1), NA())</f>
        <v/>
      </c>
      <c r="Q324">
        <f>IF(323&lt;=$I$8, INDEX('Precios Diarios'!$E$2:$E$531, $G$8 - 1 + 323 - 1), NA())</f>
        <v/>
      </c>
      <c r="R324">
        <f>IF(323&lt;=$I$8, INDEX('Precios Diarios'!$F$2:$F$531, $G$8 - 1 + 323 - 1), NA())</f>
        <v/>
      </c>
    </row>
    <row r="325">
      <c r="P325" s="2">
        <f>IF(324&lt;=$I$8, INDEX('Precios Diarios'!$A$2:$A$531, $G$8 - 1 + 324 - 1), NA())</f>
        <v/>
      </c>
      <c r="Q325">
        <f>IF(324&lt;=$I$8, INDEX('Precios Diarios'!$E$2:$E$531, $G$8 - 1 + 324 - 1), NA())</f>
        <v/>
      </c>
      <c r="R325">
        <f>IF(324&lt;=$I$8, INDEX('Precios Diarios'!$F$2:$F$531, $G$8 - 1 + 324 - 1), NA())</f>
        <v/>
      </c>
    </row>
    <row r="326">
      <c r="P326" s="2">
        <f>IF(325&lt;=$I$8, INDEX('Precios Diarios'!$A$2:$A$531, $G$8 - 1 + 325 - 1), NA())</f>
        <v/>
      </c>
      <c r="Q326">
        <f>IF(325&lt;=$I$8, INDEX('Precios Diarios'!$E$2:$E$531, $G$8 - 1 + 325 - 1), NA())</f>
        <v/>
      </c>
      <c r="R326">
        <f>IF(325&lt;=$I$8, INDEX('Precios Diarios'!$F$2:$F$531, $G$8 - 1 + 325 - 1), NA())</f>
        <v/>
      </c>
    </row>
    <row r="327">
      <c r="P327" s="2">
        <f>IF(326&lt;=$I$8, INDEX('Precios Diarios'!$A$2:$A$531, $G$8 - 1 + 326 - 1), NA())</f>
        <v/>
      </c>
      <c r="Q327">
        <f>IF(326&lt;=$I$8, INDEX('Precios Diarios'!$E$2:$E$531, $G$8 - 1 + 326 - 1), NA())</f>
        <v/>
      </c>
      <c r="R327">
        <f>IF(326&lt;=$I$8, INDEX('Precios Diarios'!$F$2:$F$531, $G$8 - 1 + 326 - 1), NA())</f>
        <v/>
      </c>
    </row>
    <row r="328">
      <c r="P328" s="2">
        <f>IF(327&lt;=$I$8, INDEX('Precios Diarios'!$A$2:$A$531, $G$8 - 1 + 327 - 1), NA())</f>
        <v/>
      </c>
      <c r="Q328">
        <f>IF(327&lt;=$I$8, INDEX('Precios Diarios'!$E$2:$E$531, $G$8 - 1 + 327 - 1), NA())</f>
        <v/>
      </c>
      <c r="R328">
        <f>IF(327&lt;=$I$8, INDEX('Precios Diarios'!$F$2:$F$531, $G$8 - 1 + 327 - 1), NA())</f>
        <v/>
      </c>
    </row>
    <row r="329">
      <c r="P329" s="2">
        <f>IF(328&lt;=$I$8, INDEX('Precios Diarios'!$A$2:$A$531, $G$8 - 1 + 328 - 1), NA())</f>
        <v/>
      </c>
      <c r="Q329">
        <f>IF(328&lt;=$I$8, INDEX('Precios Diarios'!$E$2:$E$531, $G$8 - 1 + 328 - 1), NA())</f>
        <v/>
      </c>
      <c r="R329">
        <f>IF(328&lt;=$I$8, INDEX('Precios Diarios'!$F$2:$F$531, $G$8 - 1 + 328 - 1), NA())</f>
        <v/>
      </c>
    </row>
    <row r="330">
      <c r="P330" s="2">
        <f>IF(329&lt;=$I$8, INDEX('Precios Diarios'!$A$2:$A$531, $G$8 - 1 + 329 - 1), NA())</f>
        <v/>
      </c>
      <c r="Q330">
        <f>IF(329&lt;=$I$8, INDEX('Precios Diarios'!$E$2:$E$531, $G$8 - 1 + 329 - 1), NA())</f>
        <v/>
      </c>
      <c r="R330">
        <f>IF(329&lt;=$I$8, INDEX('Precios Diarios'!$F$2:$F$531, $G$8 - 1 + 329 - 1), NA())</f>
        <v/>
      </c>
    </row>
    <row r="331">
      <c r="P331" s="2">
        <f>IF(330&lt;=$I$8, INDEX('Precios Diarios'!$A$2:$A$531, $G$8 - 1 + 330 - 1), NA())</f>
        <v/>
      </c>
      <c r="Q331">
        <f>IF(330&lt;=$I$8, INDEX('Precios Diarios'!$E$2:$E$531, $G$8 - 1 + 330 - 1), NA())</f>
        <v/>
      </c>
      <c r="R331">
        <f>IF(330&lt;=$I$8, INDEX('Precios Diarios'!$F$2:$F$531, $G$8 - 1 + 330 - 1), NA())</f>
        <v/>
      </c>
    </row>
    <row r="332">
      <c r="P332" s="2">
        <f>IF(331&lt;=$I$8, INDEX('Precios Diarios'!$A$2:$A$531, $G$8 - 1 + 331 - 1), NA())</f>
        <v/>
      </c>
      <c r="Q332">
        <f>IF(331&lt;=$I$8, INDEX('Precios Diarios'!$E$2:$E$531, $G$8 - 1 + 331 - 1), NA())</f>
        <v/>
      </c>
      <c r="R332">
        <f>IF(331&lt;=$I$8, INDEX('Precios Diarios'!$F$2:$F$531, $G$8 - 1 + 331 - 1), NA())</f>
        <v/>
      </c>
    </row>
    <row r="333">
      <c r="P333" s="2">
        <f>IF(332&lt;=$I$8, INDEX('Precios Diarios'!$A$2:$A$531, $G$8 - 1 + 332 - 1), NA())</f>
        <v/>
      </c>
      <c r="Q333">
        <f>IF(332&lt;=$I$8, INDEX('Precios Diarios'!$E$2:$E$531, $G$8 - 1 + 332 - 1), NA())</f>
        <v/>
      </c>
      <c r="R333">
        <f>IF(332&lt;=$I$8, INDEX('Precios Diarios'!$F$2:$F$531, $G$8 - 1 + 332 - 1), NA())</f>
        <v/>
      </c>
    </row>
    <row r="334">
      <c r="P334" s="2">
        <f>IF(333&lt;=$I$8, INDEX('Precios Diarios'!$A$2:$A$531, $G$8 - 1 + 333 - 1), NA())</f>
        <v/>
      </c>
      <c r="Q334">
        <f>IF(333&lt;=$I$8, INDEX('Precios Diarios'!$E$2:$E$531, $G$8 - 1 + 333 - 1), NA())</f>
        <v/>
      </c>
      <c r="R334">
        <f>IF(333&lt;=$I$8, INDEX('Precios Diarios'!$F$2:$F$531, $G$8 - 1 + 333 - 1), NA())</f>
        <v/>
      </c>
    </row>
    <row r="335">
      <c r="P335" s="2">
        <f>IF(334&lt;=$I$8, INDEX('Precios Diarios'!$A$2:$A$531, $G$8 - 1 + 334 - 1), NA())</f>
        <v/>
      </c>
      <c r="Q335">
        <f>IF(334&lt;=$I$8, INDEX('Precios Diarios'!$E$2:$E$531, $G$8 - 1 + 334 - 1), NA())</f>
        <v/>
      </c>
      <c r="R335">
        <f>IF(334&lt;=$I$8, INDEX('Precios Diarios'!$F$2:$F$531, $G$8 - 1 + 334 - 1), NA())</f>
        <v/>
      </c>
    </row>
    <row r="336">
      <c r="P336" s="2">
        <f>IF(335&lt;=$I$8, INDEX('Precios Diarios'!$A$2:$A$531, $G$8 - 1 + 335 - 1), NA())</f>
        <v/>
      </c>
      <c r="Q336">
        <f>IF(335&lt;=$I$8, INDEX('Precios Diarios'!$E$2:$E$531, $G$8 - 1 + 335 - 1), NA())</f>
        <v/>
      </c>
      <c r="R336">
        <f>IF(335&lt;=$I$8, INDEX('Precios Diarios'!$F$2:$F$531, $G$8 - 1 + 335 - 1), NA())</f>
        <v/>
      </c>
    </row>
    <row r="337">
      <c r="P337" s="2">
        <f>IF(336&lt;=$I$8, INDEX('Precios Diarios'!$A$2:$A$531, $G$8 - 1 + 336 - 1), NA())</f>
        <v/>
      </c>
      <c r="Q337">
        <f>IF(336&lt;=$I$8, INDEX('Precios Diarios'!$E$2:$E$531, $G$8 - 1 + 336 - 1), NA())</f>
        <v/>
      </c>
      <c r="R337">
        <f>IF(336&lt;=$I$8, INDEX('Precios Diarios'!$F$2:$F$531, $G$8 - 1 + 336 - 1), NA())</f>
        <v/>
      </c>
    </row>
    <row r="338">
      <c r="P338" s="2">
        <f>IF(337&lt;=$I$8, INDEX('Precios Diarios'!$A$2:$A$531, $G$8 - 1 + 337 - 1), NA())</f>
        <v/>
      </c>
      <c r="Q338">
        <f>IF(337&lt;=$I$8, INDEX('Precios Diarios'!$E$2:$E$531, $G$8 - 1 + 337 - 1), NA())</f>
        <v/>
      </c>
      <c r="R338">
        <f>IF(337&lt;=$I$8, INDEX('Precios Diarios'!$F$2:$F$531, $G$8 - 1 + 337 - 1), NA())</f>
        <v/>
      </c>
    </row>
    <row r="339">
      <c r="P339" s="2">
        <f>IF(338&lt;=$I$8, INDEX('Precios Diarios'!$A$2:$A$531, $G$8 - 1 + 338 - 1), NA())</f>
        <v/>
      </c>
      <c r="Q339">
        <f>IF(338&lt;=$I$8, INDEX('Precios Diarios'!$E$2:$E$531, $G$8 - 1 + 338 - 1), NA())</f>
        <v/>
      </c>
      <c r="R339">
        <f>IF(338&lt;=$I$8, INDEX('Precios Diarios'!$F$2:$F$531, $G$8 - 1 + 338 - 1), NA())</f>
        <v/>
      </c>
    </row>
    <row r="340">
      <c r="P340" s="2">
        <f>IF(339&lt;=$I$8, INDEX('Precios Diarios'!$A$2:$A$531, $G$8 - 1 + 339 - 1), NA())</f>
        <v/>
      </c>
      <c r="Q340">
        <f>IF(339&lt;=$I$8, INDEX('Precios Diarios'!$E$2:$E$531, $G$8 - 1 + 339 - 1), NA())</f>
        <v/>
      </c>
      <c r="R340">
        <f>IF(339&lt;=$I$8, INDEX('Precios Diarios'!$F$2:$F$531, $G$8 - 1 + 339 - 1), NA())</f>
        <v/>
      </c>
    </row>
    <row r="341">
      <c r="P341" s="2">
        <f>IF(340&lt;=$I$8, INDEX('Precios Diarios'!$A$2:$A$531, $G$8 - 1 + 340 - 1), NA())</f>
        <v/>
      </c>
      <c r="Q341">
        <f>IF(340&lt;=$I$8, INDEX('Precios Diarios'!$E$2:$E$531, $G$8 - 1 + 340 - 1), NA())</f>
        <v/>
      </c>
      <c r="R341">
        <f>IF(340&lt;=$I$8, INDEX('Precios Diarios'!$F$2:$F$531, $G$8 - 1 + 340 - 1), NA())</f>
        <v/>
      </c>
    </row>
    <row r="342">
      <c r="P342" s="2">
        <f>IF(341&lt;=$I$8, INDEX('Precios Diarios'!$A$2:$A$531, $G$8 - 1 + 341 - 1), NA())</f>
        <v/>
      </c>
      <c r="Q342">
        <f>IF(341&lt;=$I$8, INDEX('Precios Diarios'!$E$2:$E$531, $G$8 - 1 + 341 - 1), NA())</f>
        <v/>
      </c>
      <c r="R342">
        <f>IF(341&lt;=$I$8, INDEX('Precios Diarios'!$F$2:$F$531, $G$8 - 1 + 341 - 1), NA())</f>
        <v/>
      </c>
    </row>
    <row r="343">
      <c r="P343" s="2">
        <f>IF(342&lt;=$I$8, INDEX('Precios Diarios'!$A$2:$A$531, $G$8 - 1 + 342 - 1), NA())</f>
        <v/>
      </c>
      <c r="Q343">
        <f>IF(342&lt;=$I$8, INDEX('Precios Diarios'!$E$2:$E$531, $G$8 - 1 + 342 - 1), NA())</f>
        <v/>
      </c>
      <c r="R343">
        <f>IF(342&lt;=$I$8, INDEX('Precios Diarios'!$F$2:$F$531, $G$8 - 1 + 342 - 1), NA())</f>
        <v/>
      </c>
    </row>
    <row r="344">
      <c r="P344" s="2">
        <f>IF(343&lt;=$I$8, INDEX('Precios Diarios'!$A$2:$A$531, $G$8 - 1 + 343 - 1), NA())</f>
        <v/>
      </c>
      <c r="Q344">
        <f>IF(343&lt;=$I$8, INDEX('Precios Diarios'!$E$2:$E$531, $G$8 - 1 + 343 - 1), NA())</f>
        <v/>
      </c>
      <c r="R344">
        <f>IF(343&lt;=$I$8, INDEX('Precios Diarios'!$F$2:$F$531, $G$8 - 1 + 343 - 1), NA())</f>
        <v/>
      </c>
    </row>
    <row r="345">
      <c r="P345" s="2">
        <f>IF(344&lt;=$I$8, INDEX('Precios Diarios'!$A$2:$A$531, $G$8 - 1 + 344 - 1), NA())</f>
        <v/>
      </c>
      <c r="Q345">
        <f>IF(344&lt;=$I$8, INDEX('Precios Diarios'!$E$2:$E$531, $G$8 - 1 + 344 - 1), NA())</f>
        <v/>
      </c>
      <c r="R345">
        <f>IF(344&lt;=$I$8, INDEX('Precios Diarios'!$F$2:$F$531, $G$8 - 1 + 344 - 1), NA())</f>
        <v/>
      </c>
    </row>
    <row r="346">
      <c r="P346" s="2">
        <f>IF(345&lt;=$I$8, INDEX('Precios Diarios'!$A$2:$A$531, $G$8 - 1 + 345 - 1), NA())</f>
        <v/>
      </c>
      <c r="Q346">
        <f>IF(345&lt;=$I$8, INDEX('Precios Diarios'!$E$2:$E$531, $G$8 - 1 + 345 - 1), NA())</f>
        <v/>
      </c>
      <c r="R346">
        <f>IF(345&lt;=$I$8, INDEX('Precios Diarios'!$F$2:$F$531, $G$8 - 1 + 345 - 1), NA())</f>
        <v/>
      </c>
    </row>
    <row r="347">
      <c r="P347" s="2">
        <f>IF(346&lt;=$I$8, INDEX('Precios Diarios'!$A$2:$A$531, $G$8 - 1 + 346 - 1), NA())</f>
        <v/>
      </c>
      <c r="Q347">
        <f>IF(346&lt;=$I$8, INDEX('Precios Diarios'!$E$2:$E$531, $G$8 - 1 + 346 - 1), NA())</f>
        <v/>
      </c>
      <c r="R347">
        <f>IF(346&lt;=$I$8, INDEX('Precios Diarios'!$F$2:$F$531, $G$8 - 1 + 346 - 1), NA())</f>
        <v/>
      </c>
    </row>
    <row r="348">
      <c r="P348" s="2">
        <f>IF(347&lt;=$I$8, INDEX('Precios Diarios'!$A$2:$A$531, $G$8 - 1 + 347 - 1), NA())</f>
        <v/>
      </c>
      <c r="Q348">
        <f>IF(347&lt;=$I$8, INDEX('Precios Diarios'!$E$2:$E$531, $G$8 - 1 + 347 - 1), NA())</f>
        <v/>
      </c>
      <c r="R348">
        <f>IF(347&lt;=$I$8, INDEX('Precios Diarios'!$F$2:$F$531, $G$8 - 1 + 347 - 1), NA())</f>
        <v/>
      </c>
    </row>
    <row r="349">
      <c r="P349" s="2">
        <f>IF(348&lt;=$I$8, INDEX('Precios Diarios'!$A$2:$A$531, $G$8 - 1 + 348 - 1), NA())</f>
        <v/>
      </c>
      <c r="Q349">
        <f>IF(348&lt;=$I$8, INDEX('Precios Diarios'!$E$2:$E$531, $G$8 - 1 + 348 - 1), NA())</f>
        <v/>
      </c>
      <c r="R349">
        <f>IF(348&lt;=$I$8, INDEX('Precios Diarios'!$F$2:$F$531, $G$8 - 1 + 348 - 1), NA())</f>
        <v/>
      </c>
    </row>
    <row r="350">
      <c r="P350" s="2">
        <f>IF(349&lt;=$I$8, INDEX('Precios Diarios'!$A$2:$A$531, $G$8 - 1 + 349 - 1), NA())</f>
        <v/>
      </c>
      <c r="Q350">
        <f>IF(349&lt;=$I$8, INDEX('Precios Diarios'!$E$2:$E$531, $G$8 - 1 + 349 - 1), NA())</f>
        <v/>
      </c>
      <c r="R350">
        <f>IF(349&lt;=$I$8, INDEX('Precios Diarios'!$F$2:$F$531, $G$8 - 1 + 349 - 1), NA())</f>
        <v/>
      </c>
    </row>
    <row r="351">
      <c r="P351" s="2">
        <f>IF(350&lt;=$I$8, INDEX('Precios Diarios'!$A$2:$A$531, $G$8 - 1 + 350 - 1), NA())</f>
        <v/>
      </c>
      <c r="Q351">
        <f>IF(350&lt;=$I$8, INDEX('Precios Diarios'!$E$2:$E$531, $G$8 - 1 + 350 - 1), NA())</f>
        <v/>
      </c>
      <c r="R351">
        <f>IF(350&lt;=$I$8, INDEX('Precios Diarios'!$F$2:$F$531, $G$8 - 1 + 350 - 1), NA())</f>
        <v/>
      </c>
    </row>
    <row r="352">
      <c r="P352" s="2">
        <f>IF(351&lt;=$I$8, INDEX('Precios Diarios'!$A$2:$A$531, $G$8 - 1 + 351 - 1), NA())</f>
        <v/>
      </c>
      <c r="Q352">
        <f>IF(351&lt;=$I$8, INDEX('Precios Diarios'!$E$2:$E$531, $G$8 - 1 + 351 - 1), NA())</f>
        <v/>
      </c>
      <c r="R352">
        <f>IF(351&lt;=$I$8, INDEX('Precios Diarios'!$F$2:$F$531, $G$8 - 1 + 351 - 1), NA())</f>
        <v/>
      </c>
    </row>
    <row r="353">
      <c r="P353" s="2">
        <f>IF(352&lt;=$I$8, INDEX('Precios Diarios'!$A$2:$A$531, $G$8 - 1 + 352 - 1), NA())</f>
        <v/>
      </c>
      <c r="Q353">
        <f>IF(352&lt;=$I$8, INDEX('Precios Diarios'!$E$2:$E$531, $G$8 - 1 + 352 - 1), NA())</f>
        <v/>
      </c>
      <c r="R353">
        <f>IF(352&lt;=$I$8, INDEX('Precios Diarios'!$F$2:$F$531, $G$8 - 1 + 352 - 1), NA())</f>
        <v/>
      </c>
    </row>
    <row r="354">
      <c r="P354" s="2">
        <f>IF(353&lt;=$I$8, INDEX('Precios Diarios'!$A$2:$A$531, $G$8 - 1 + 353 - 1), NA())</f>
        <v/>
      </c>
      <c r="Q354">
        <f>IF(353&lt;=$I$8, INDEX('Precios Diarios'!$E$2:$E$531, $G$8 - 1 + 353 - 1), NA())</f>
        <v/>
      </c>
      <c r="R354">
        <f>IF(353&lt;=$I$8, INDEX('Precios Diarios'!$F$2:$F$531, $G$8 - 1 + 353 - 1), NA())</f>
        <v/>
      </c>
    </row>
    <row r="355">
      <c r="P355" s="2">
        <f>IF(354&lt;=$I$8, INDEX('Precios Diarios'!$A$2:$A$531, $G$8 - 1 + 354 - 1), NA())</f>
        <v/>
      </c>
      <c r="Q355">
        <f>IF(354&lt;=$I$8, INDEX('Precios Diarios'!$E$2:$E$531, $G$8 - 1 + 354 - 1), NA())</f>
        <v/>
      </c>
      <c r="R355">
        <f>IF(354&lt;=$I$8, INDEX('Precios Diarios'!$F$2:$F$531, $G$8 - 1 + 354 - 1), NA())</f>
        <v/>
      </c>
    </row>
    <row r="356">
      <c r="P356" s="2">
        <f>IF(355&lt;=$I$8, INDEX('Precios Diarios'!$A$2:$A$531, $G$8 - 1 + 355 - 1), NA())</f>
        <v/>
      </c>
      <c r="Q356">
        <f>IF(355&lt;=$I$8, INDEX('Precios Diarios'!$E$2:$E$531, $G$8 - 1 + 355 - 1), NA())</f>
        <v/>
      </c>
      <c r="R356">
        <f>IF(355&lt;=$I$8, INDEX('Precios Diarios'!$F$2:$F$531, $G$8 - 1 + 355 - 1), NA())</f>
        <v/>
      </c>
    </row>
    <row r="357">
      <c r="P357" s="2">
        <f>IF(356&lt;=$I$8, INDEX('Precios Diarios'!$A$2:$A$531, $G$8 - 1 + 356 - 1), NA())</f>
        <v/>
      </c>
      <c r="Q357">
        <f>IF(356&lt;=$I$8, INDEX('Precios Diarios'!$E$2:$E$531, $G$8 - 1 + 356 - 1), NA())</f>
        <v/>
      </c>
      <c r="R357">
        <f>IF(356&lt;=$I$8, INDEX('Precios Diarios'!$F$2:$F$531, $G$8 - 1 + 356 - 1), NA())</f>
        <v/>
      </c>
    </row>
    <row r="358">
      <c r="P358" s="2">
        <f>IF(357&lt;=$I$8, INDEX('Precios Diarios'!$A$2:$A$531, $G$8 - 1 + 357 - 1), NA())</f>
        <v/>
      </c>
      <c r="Q358">
        <f>IF(357&lt;=$I$8, INDEX('Precios Diarios'!$E$2:$E$531, $G$8 - 1 + 357 - 1), NA())</f>
        <v/>
      </c>
      <c r="R358">
        <f>IF(357&lt;=$I$8, INDEX('Precios Diarios'!$F$2:$F$531, $G$8 - 1 + 357 - 1), NA())</f>
        <v/>
      </c>
    </row>
    <row r="359">
      <c r="P359" s="2">
        <f>IF(358&lt;=$I$8, INDEX('Precios Diarios'!$A$2:$A$531, $G$8 - 1 + 358 - 1), NA())</f>
        <v/>
      </c>
      <c r="Q359">
        <f>IF(358&lt;=$I$8, INDEX('Precios Diarios'!$E$2:$E$531, $G$8 - 1 + 358 - 1), NA())</f>
        <v/>
      </c>
      <c r="R359">
        <f>IF(358&lt;=$I$8, INDEX('Precios Diarios'!$F$2:$F$531, $G$8 - 1 + 358 - 1), NA())</f>
        <v/>
      </c>
    </row>
    <row r="360">
      <c r="P360" s="2">
        <f>IF(359&lt;=$I$8, INDEX('Precios Diarios'!$A$2:$A$531, $G$8 - 1 + 359 - 1), NA())</f>
        <v/>
      </c>
      <c r="Q360">
        <f>IF(359&lt;=$I$8, INDEX('Precios Diarios'!$E$2:$E$531, $G$8 - 1 + 359 - 1), NA())</f>
        <v/>
      </c>
      <c r="R360">
        <f>IF(359&lt;=$I$8, INDEX('Precios Diarios'!$F$2:$F$531, $G$8 - 1 + 359 - 1), NA())</f>
        <v/>
      </c>
    </row>
    <row r="361">
      <c r="P361" s="2">
        <f>IF(360&lt;=$I$8, INDEX('Precios Diarios'!$A$2:$A$531, $G$8 - 1 + 360 - 1), NA())</f>
        <v/>
      </c>
      <c r="Q361">
        <f>IF(360&lt;=$I$8, INDEX('Precios Diarios'!$E$2:$E$531, $G$8 - 1 + 360 - 1), NA())</f>
        <v/>
      </c>
      <c r="R361">
        <f>IF(360&lt;=$I$8, INDEX('Precios Diarios'!$F$2:$F$531, $G$8 - 1 + 360 - 1), NA())</f>
        <v/>
      </c>
    </row>
    <row r="362">
      <c r="P362" s="2">
        <f>IF(361&lt;=$I$8, INDEX('Precios Diarios'!$A$2:$A$531, $G$8 - 1 + 361 - 1), NA())</f>
        <v/>
      </c>
      <c r="Q362">
        <f>IF(361&lt;=$I$8, INDEX('Precios Diarios'!$E$2:$E$531, $G$8 - 1 + 361 - 1), NA())</f>
        <v/>
      </c>
      <c r="R362">
        <f>IF(361&lt;=$I$8, INDEX('Precios Diarios'!$F$2:$F$531, $G$8 - 1 + 361 - 1), NA())</f>
        <v/>
      </c>
    </row>
    <row r="363">
      <c r="P363" s="2">
        <f>IF(362&lt;=$I$8, INDEX('Precios Diarios'!$A$2:$A$531, $G$8 - 1 + 362 - 1), NA())</f>
        <v/>
      </c>
      <c r="Q363">
        <f>IF(362&lt;=$I$8, INDEX('Precios Diarios'!$E$2:$E$531, $G$8 - 1 + 362 - 1), NA())</f>
        <v/>
      </c>
      <c r="R363">
        <f>IF(362&lt;=$I$8, INDEX('Precios Diarios'!$F$2:$F$531, $G$8 - 1 + 362 - 1), NA())</f>
        <v/>
      </c>
    </row>
    <row r="364">
      <c r="P364" s="2">
        <f>IF(363&lt;=$I$8, INDEX('Precios Diarios'!$A$2:$A$531, $G$8 - 1 + 363 - 1), NA())</f>
        <v/>
      </c>
      <c r="Q364">
        <f>IF(363&lt;=$I$8, INDEX('Precios Diarios'!$E$2:$E$531, $G$8 - 1 + 363 - 1), NA())</f>
        <v/>
      </c>
      <c r="R364">
        <f>IF(363&lt;=$I$8, INDEX('Precios Diarios'!$F$2:$F$531, $G$8 - 1 + 363 - 1), NA())</f>
        <v/>
      </c>
    </row>
    <row r="365">
      <c r="P365" s="2">
        <f>IF(364&lt;=$I$8, INDEX('Precios Diarios'!$A$2:$A$531, $G$8 - 1 + 364 - 1), NA())</f>
        <v/>
      </c>
      <c r="Q365">
        <f>IF(364&lt;=$I$8, INDEX('Precios Diarios'!$E$2:$E$531, $G$8 - 1 + 364 - 1), NA())</f>
        <v/>
      </c>
      <c r="R365">
        <f>IF(364&lt;=$I$8, INDEX('Precios Diarios'!$F$2:$F$531, $G$8 - 1 + 364 - 1), NA())</f>
        <v/>
      </c>
    </row>
    <row r="366">
      <c r="P366" s="2">
        <f>IF(365&lt;=$I$8, INDEX('Precios Diarios'!$A$2:$A$531, $G$8 - 1 + 365 - 1), NA())</f>
        <v/>
      </c>
      <c r="Q366">
        <f>IF(365&lt;=$I$8, INDEX('Precios Diarios'!$E$2:$E$531, $G$8 - 1 + 365 - 1), NA())</f>
        <v/>
      </c>
      <c r="R366">
        <f>IF(365&lt;=$I$8, INDEX('Precios Diarios'!$F$2:$F$531, $G$8 - 1 + 365 - 1), NA())</f>
        <v/>
      </c>
    </row>
    <row r="367">
      <c r="P367" s="2">
        <f>IF(366&lt;=$I$8, INDEX('Precios Diarios'!$A$2:$A$531, $G$8 - 1 + 366 - 1), NA())</f>
        <v/>
      </c>
      <c r="Q367">
        <f>IF(366&lt;=$I$8, INDEX('Precios Diarios'!$E$2:$E$531, $G$8 - 1 + 366 - 1), NA())</f>
        <v/>
      </c>
      <c r="R367">
        <f>IF(366&lt;=$I$8, INDEX('Precios Diarios'!$F$2:$F$531, $G$8 - 1 + 366 - 1), NA())</f>
        <v/>
      </c>
    </row>
    <row r="368">
      <c r="P368" s="2">
        <f>IF(367&lt;=$I$8, INDEX('Precios Diarios'!$A$2:$A$531, $G$8 - 1 + 367 - 1), NA())</f>
        <v/>
      </c>
      <c r="Q368">
        <f>IF(367&lt;=$I$8, INDEX('Precios Diarios'!$E$2:$E$531, $G$8 - 1 + 367 - 1), NA())</f>
        <v/>
      </c>
      <c r="R368">
        <f>IF(367&lt;=$I$8, INDEX('Precios Diarios'!$F$2:$F$531, $G$8 - 1 + 367 - 1), NA())</f>
        <v/>
      </c>
    </row>
    <row r="369">
      <c r="P369" s="2">
        <f>IF(368&lt;=$I$8, INDEX('Precios Diarios'!$A$2:$A$531, $G$8 - 1 + 368 - 1), NA())</f>
        <v/>
      </c>
      <c r="Q369">
        <f>IF(368&lt;=$I$8, INDEX('Precios Diarios'!$E$2:$E$531, $G$8 - 1 + 368 - 1), NA())</f>
        <v/>
      </c>
      <c r="R369">
        <f>IF(368&lt;=$I$8, INDEX('Precios Diarios'!$F$2:$F$531, $G$8 - 1 + 368 - 1), NA())</f>
        <v/>
      </c>
    </row>
    <row r="370">
      <c r="P370" s="2">
        <f>IF(369&lt;=$I$8, INDEX('Precios Diarios'!$A$2:$A$531, $G$8 - 1 + 369 - 1), NA())</f>
        <v/>
      </c>
      <c r="Q370">
        <f>IF(369&lt;=$I$8, INDEX('Precios Diarios'!$E$2:$E$531, $G$8 - 1 + 369 - 1), NA())</f>
        <v/>
      </c>
      <c r="R370">
        <f>IF(369&lt;=$I$8, INDEX('Precios Diarios'!$F$2:$F$531, $G$8 - 1 + 369 - 1), NA())</f>
        <v/>
      </c>
    </row>
    <row r="371">
      <c r="P371" s="2">
        <f>IF(370&lt;=$I$8, INDEX('Precios Diarios'!$A$2:$A$531, $G$8 - 1 + 370 - 1), NA())</f>
        <v/>
      </c>
      <c r="Q371">
        <f>IF(370&lt;=$I$8, INDEX('Precios Diarios'!$E$2:$E$531, $G$8 - 1 + 370 - 1), NA())</f>
        <v/>
      </c>
      <c r="R371">
        <f>IF(370&lt;=$I$8, INDEX('Precios Diarios'!$F$2:$F$531, $G$8 - 1 + 370 - 1), NA())</f>
        <v/>
      </c>
    </row>
    <row r="372">
      <c r="P372" s="2">
        <f>IF(371&lt;=$I$8, INDEX('Precios Diarios'!$A$2:$A$531, $G$8 - 1 + 371 - 1), NA())</f>
        <v/>
      </c>
      <c r="Q372">
        <f>IF(371&lt;=$I$8, INDEX('Precios Diarios'!$E$2:$E$531, $G$8 - 1 + 371 - 1), NA())</f>
        <v/>
      </c>
      <c r="R372">
        <f>IF(371&lt;=$I$8, INDEX('Precios Diarios'!$F$2:$F$531, $G$8 - 1 + 371 - 1), NA())</f>
        <v/>
      </c>
    </row>
    <row r="373">
      <c r="P373" s="2">
        <f>IF(372&lt;=$I$8, INDEX('Precios Diarios'!$A$2:$A$531, $G$8 - 1 + 372 - 1), NA())</f>
        <v/>
      </c>
      <c r="Q373">
        <f>IF(372&lt;=$I$8, INDEX('Precios Diarios'!$E$2:$E$531, $G$8 - 1 + 372 - 1), NA())</f>
        <v/>
      </c>
      <c r="R373">
        <f>IF(372&lt;=$I$8, INDEX('Precios Diarios'!$F$2:$F$531, $G$8 - 1 + 372 - 1), NA())</f>
        <v/>
      </c>
    </row>
    <row r="374">
      <c r="P374" s="2">
        <f>IF(373&lt;=$I$8, INDEX('Precios Diarios'!$A$2:$A$531, $G$8 - 1 + 373 - 1), NA())</f>
        <v/>
      </c>
      <c r="Q374">
        <f>IF(373&lt;=$I$8, INDEX('Precios Diarios'!$E$2:$E$531, $G$8 - 1 + 373 - 1), NA())</f>
        <v/>
      </c>
      <c r="R374">
        <f>IF(373&lt;=$I$8, INDEX('Precios Diarios'!$F$2:$F$531, $G$8 - 1 + 373 - 1), NA())</f>
        <v/>
      </c>
    </row>
    <row r="375">
      <c r="P375" s="2">
        <f>IF(374&lt;=$I$8, INDEX('Precios Diarios'!$A$2:$A$531, $G$8 - 1 + 374 - 1), NA())</f>
        <v/>
      </c>
      <c r="Q375">
        <f>IF(374&lt;=$I$8, INDEX('Precios Diarios'!$E$2:$E$531, $G$8 - 1 + 374 - 1), NA())</f>
        <v/>
      </c>
      <c r="R375">
        <f>IF(374&lt;=$I$8, INDEX('Precios Diarios'!$F$2:$F$531, $G$8 - 1 + 374 - 1), NA())</f>
        <v/>
      </c>
    </row>
    <row r="376">
      <c r="P376" s="2">
        <f>IF(375&lt;=$I$8, INDEX('Precios Diarios'!$A$2:$A$531, $G$8 - 1 + 375 - 1), NA())</f>
        <v/>
      </c>
      <c r="Q376">
        <f>IF(375&lt;=$I$8, INDEX('Precios Diarios'!$E$2:$E$531, $G$8 - 1 + 375 - 1), NA())</f>
        <v/>
      </c>
      <c r="R376">
        <f>IF(375&lt;=$I$8, INDEX('Precios Diarios'!$F$2:$F$531, $G$8 - 1 + 375 - 1), NA())</f>
        <v/>
      </c>
    </row>
    <row r="377">
      <c r="P377" s="2">
        <f>IF(376&lt;=$I$8, INDEX('Precios Diarios'!$A$2:$A$531, $G$8 - 1 + 376 - 1), NA())</f>
        <v/>
      </c>
      <c r="Q377">
        <f>IF(376&lt;=$I$8, INDEX('Precios Diarios'!$E$2:$E$531, $G$8 - 1 + 376 - 1), NA())</f>
        <v/>
      </c>
      <c r="R377">
        <f>IF(376&lt;=$I$8, INDEX('Precios Diarios'!$F$2:$F$531, $G$8 - 1 + 376 - 1), NA())</f>
        <v/>
      </c>
    </row>
    <row r="378">
      <c r="P378" s="2">
        <f>IF(377&lt;=$I$8, INDEX('Precios Diarios'!$A$2:$A$531, $G$8 - 1 + 377 - 1), NA())</f>
        <v/>
      </c>
      <c r="Q378">
        <f>IF(377&lt;=$I$8, INDEX('Precios Diarios'!$E$2:$E$531, $G$8 - 1 + 377 - 1), NA())</f>
        <v/>
      </c>
      <c r="R378">
        <f>IF(377&lt;=$I$8, INDEX('Precios Diarios'!$F$2:$F$531, $G$8 - 1 + 377 - 1), NA())</f>
        <v/>
      </c>
    </row>
    <row r="379">
      <c r="P379" s="2">
        <f>IF(378&lt;=$I$8, INDEX('Precios Diarios'!$A$2:$A$531, $G$8 - 1 + 378 - 1), NA())</f>
        <v/>
      </c>
      <c r="Q379">
        <f>IF(378&lt;=$I$8, INDEX('Precios Diarios'!$E$2:$E$531, $G$8 - 1 + 378 - 1), NA())</f>
        <v/>
      </c>
      <c r="R379">
        <f>IF(378&lt;=$I$8, INDEX('Precios Diarios'!$F$2:$F$531, $G$8 - 1 + 378 - 1), NA())</f>
        <v/>
      </c>
    </row>
    <row r="380">
      <c r="P380" s="2">
        <f>IF(379&lt;=$I$8, INDEX('Precios Diarios'!$A$2:$A$531, $G$8 - 1 + 379 - 1), NA())</f>
        <v/>
      </c>
      <c r="Q380">
        <f>IF(379&lt;=$I$8, INDEX('Precios Diarios'!$E$2:$E$531, $G$8 - 1 + 379 - 1), NA())</f>
        <v/>
      </c>
      <c r="R380">
        <f>IF(379&lt;=$I$8, INDEX('Precios Diarios'!$F$2:$F$531, $G$8 - 1 + 379 - 1), NA())</f>
        <v/>
      </c>
    </row>
    <row r="381">
      <c r="P381" s="2">
        <f>IF(380&lt;=$I$8, INDEX('Precios Diarios'!$A$2:$A$531, $G$8 - 1 + 380 - 1), NA())</f>
        <v/>
      </c>
      <c r="Q381">
        <f>IF(380&lt;=$I$8, INDEX('Precios Diarios'!$E$2:$E$531, $G$8 - 1 + 380 - 1), NA())</f>
        <v/>
      </c>
      <c r="R381">
        <f>IF(380&lt;=$I$8, INDEX('Precios Diarios'!$F$2:$F$531, $G$8 - 1 + 380 - 1), NA())</f>
        <v/>
      </c>
    </row>
    <row r="382">
      <c r="P382" s="2">
        <f>IF(381&lt;=$I$8, INDEX('Precios Diarios'!$A$2:$A$531, $G$8 - 1 + 381 - 1), NA())</f>
        <v/>
      </c>
      <c r="Q382">
        <f>IF(381&lt;=$I$8, INDEX('Precios Diarios'!$E$2:$E$531, $G$8 - 1 + 381 - 1), NA())</f>
        <v/>
      </c>
      <c r="R382">
        <f>IF(381&lt;=$I$8, INDEX('Precios Diarios'!$F$2:$F$531, $G$8 - 1 + 381 - 1), NA())</f>
        <v/>
      </c>
    </row>
    <row r="383">
      <c r="P383" s="2">
        <f>IF(382&lt;=$I$8, INDEX('Precios Diarios'!$A$2:$A$531, $G$8 - 1 + 382 - 1), NA())</f>
        <v/>
      </c>
      <c r="Q383">
        <f>IF(382&lt;=$I$8, INDEX('Precios Diarios'!$E$2:$E$531, $G$8 - 1 + 382 - 1), NA())</f>
        <v/>
      </c>
      <c r="R383">
        <f>IF(382&lt;=$I$8, INDEX('Precios Diarios'!$F$2:$F$531, $G$8 - 1 + 382 - 1), NA())</f>
        <v/>
      </c>
    </row>
    <row r="384">
      <c r="P384" s="2">
        <f>IF(383&lt;=$I$8, INDEX('Precios Diarios'!$A$2:$A$531, $G$8 - 1 + 383 - 1), NA())</f>
        <v/>
      </c>
      <c r="Q384">
        <f>IF(383&lt;=$I$8, INDEX('Precios Diarios'!$E$2:$E$531, $G$8 - 1 + 383 - 1), NA())</f>
        <v/>
      </c>
      <c r="R384">
        <f>IF(383&lt;=$I$8, INDEX('Precios Diarios'!$F$2:$F$531, $G$8 - 1 + 383 - 1), NA())</f>
        <v/>
      </c>
    </row>
    <row r="385">
      <c r="P385" s="2">
        <f>IF(384&lt;=$I$8, INDEX('Precios Diarios'!$A$2:$A$531, $G$8 - 1 + 384 - 1), NA())</f>
        <v/>
      </c>
      <c r="Q385">
        <f>IF(384&lt;=$I$8, INDEX('Precios Diarios'!$E$2:$E$531, $G$8 - 1 + 384 - 1), NA())</f>
        <v/>
      </c>
      <c r="R385">
        <f>IF(384&lt;=$I$8, INDEX('Precios Diarios'!$F$2:$F$531, $G$8 - 1 + 384 - 1), NA())</f>
        <v/>
      </c>
    </row>
    <row r="386">
      <c r="P386" s="2">
        <f>IF(385&lt;=$I$8, INDEX('Precios Diarios'!$A$2:$A$531, $G$8 - 1 + 385 - 1), NA())</f>
        <v/>
      </c>
      <c r="Q386">
        <f>IF(385&lt;=$I$8, INDEX('Precios Diarios'!$E$2:$E$531, $G$8 - 1 + 385 - 1), NA())</f>
        <v/>
      </c>
      <c r="R386">
        <f>IF(385&lt;=$I$8, INDEX('Precios Diarios'!$F$2:$F$531, $G$8 - 1 + 385 - 1), NA())</f>
        <v/>
      </c>
    </row>
    <row r="387">
      <c r="P387" s="2">
        <f>IF(386&lt;=$I$8, INDEX('Precios Diarios'!$A$2:$A$531, $G$8 - 1 + 386 - 1), NA())</f>
        <v/>
      </c>
      <c r="Q387">
        <f>IF(386&lt;=$I$8, INDEX('Precios Diarios'!$E$2:$E$531, $G$8 - 1 + 386 - 1), NA())</f>
        <v/>
      </c>
      <c r="R387">
        <f>IF(386&lt;=$I$8, INDEX('Precios Diarios'!$F$2:$F$531, $G$8 - 1 + 386 - 1), NA())</f>
        <v/>
      </c>
    </row>
    <row r="388">
      <c r="P388" s="2">
        <f>IF(387&lt;=$I$8, INDEX('Precios Diarios'!$A$2:$A$531, $G$8 - 1 + 387 - 1), NA())</f>
        <v/>
      </c>
      <c r="Q388">
        <f>IF(387&lt;=$I$8, INDEX('Precios Diarios'!$E$2:$E$531, $G$8 - 1 + 387 - 1), NA())</f>
        <v/>
      </c>
      <c r="R388">
        <f>IF(387&lt;=$I$8, INDEX('Precios Diarios'!$F$2:$F$531, $G$8 - 1 + 387 - 1), NA())</f>
        <v/>
      </c>
    </row>
    <row r="389">
      <c r="P389" s="2">
        <f>IF(388&lt;=$I$8, INDEX('Precios Diarios'!$A$2:$A$531, $G$8 - 1 + 388 - 1), NA())</f>
        <v/>
      </c>
      <c r="Q389">
        <f>IF(388&lt;=$I$8, INDEX('Precios Diarios'!$E$2:$E$531, $G$8 - 1 + 388 - 1), NA())</f>
        <v/>
      </c>
      <c r="R389">
        <f>IF(388&lt;=$I$8, INDEX('Precios Diarios'!$F$2:$F$531, $G$8 - 1 + 388 - 1), NA())</f>
        <v/>
      </c>
    </row>
    <row r="390">
      <c r="P390" s="2">
        <f>IF(389&lt;=$I$8, INDEX('Precios Diarios'!$A$2:$A$531, $G$8 - 1 + 389 - 1), NA())</f>
        <v/>
      </c>
      <c r="Q390">
        <f>IF(389&lt;=$I$8, INDEX('Precios Diarios'!$E$2:$E$531, $G$8 - 1 + 389 - 1), NA())</f>
        <v/>
      </c>
      <c r="R390">
        <f>IF(389&lt;=$I$8, INDEX('Precios Diarios'!$F$2:$F$531, $G$8 - 1 + 389 - 1), NA())</f>
        <v/>
      </c>
    </row>
    <row r="391">
      <c r="P391" s="2">
        <f>IF(390&lt;=$I$8, INDEX('Precios Diarios'!$A$2:$A$531, $G$8 - 1 + 390 - 1), NA())</f>
        <v/>
      </c>
      <c r="Q391">
        <f>IF(390&lt;=$I$8, INDEX('Precios Diarios'!$E$2:$E$531, $G$8 - 1 + 390 - 1), NA())</f>
        <v/>
      </c>
      <c r="R391">
        <f>IF(390&lt;=$I$8, INDEX('Precios Diarios'!$F$2:$F$531, $G$8 - 1 + 390 - 1), NA())</f>
        <v/>
      </c>
    </row>
    <row r="392">
      <c r="P392" s="2">
        <f>IF(391&lt;=$I$8, INDEX('Precios Diarios'!$A$2:$A$531, $G$8 - 1 + 391 - 1), NA())</f>
        <v/>
      </c>
      <c r="Q392">
        <f>IF(391&lt;=$I$8, INDEX('Precios Diarios'!$E$2:$E$531, $G$8 - 1 + 391 - 1), NA())</f>
        <v/>
      </c>
      <c r="R392">
        <f>IF(391&lt;=$I$8, INDEX('Precios Diarios'!$F$2:$F$531, $G$8 - 1 + 391 - 1), NA())</f>
        <v/>
      </c>
    </row>
    <row r="393">
      <c r="P393" s="2">
        <f>IF(392&lt;=$I$8, INDEX('Precios Diarios'!$A$2:$A$531, $G$8 - 1 + 392 - 1), NA())</f>
        <v/>
      </c>
      <c r="Q393">
        <f>IF(392&lt;=$I$8, INDEX('Precios Diarios'!$E$2:$E$531, $G$8 - 1 + 392 - 1), NA())</f>
        <v/>
      </c>
      <c r="R393">
        <f>IF(392&lt;=$I$8, INDEX('Precios Diarios'!$F$2:$F$531, $G$8 - 1 + 392 - 1), NA())</f>
        <v/>
      </c>
    </row>
    <row r="394">
      <c r="P394" s="2">
        <f>IF(393&lt;=$I$8, INDEX('Precios Diarios'!$A$2:$A$531, $G$8 - 1 + 393 - 1), NA())</f>
        <v/>
      </c>
      <c r="Q394">
        <f>IF(393&lt;=$I$8, INDEX('Precios Diarios'!$E$2:$E$531, $G$8 - 1 + 393 - 1), NA())</f>
        <v/>
      </c>
      <c r="R394">
        <f>IF(393&lt;=$I$8, INDEX('Precios Diarios'!$F$2:$F$531, $G$8 - 1 + 393 - 1), NA())</f>
        <v/>
      </c>
    </row>
    <row r="395">
      <c r="P395" s="2">
        <f>IF(394&lt;=$I$8, INDEX('Precios Diarios'!$A$2:$A$531, $G$8 - 1 + 394 - 1), NA())</f>
        <v/>
      </c>
      <c r="Q395">
        <f>IF(394&lt;=$I$8, INDEX('Precios Diarios'!$E$2:$E$531, $G$8 - 1 + 394 - 1), NA())</f>
        <v/>
      </c>
      <c r="R395">
        <f>IF(394&lt;=$I$8, INDEX('Precios Diarios'!$F$2:$F$531, $G$8 - 1 + 394 - 1), NA())</f>
        <v/>
      </c>
    </row>
    <row r="396">
      <c r="P396" s="2">
        <f>IF(395&lt;=$I$8, INDEX('Precios Diarios'!$A$2:$A$531, $G$8 - 1 + 395 - 1), NA())</f>
        <v/>
      </c>
      <c r="Q396">
        <f>IF(395&lt;=$I$8, INDEX('Precios Diarios'!$E$2:$E$531, $G$8 - 1 + 395 - 1), NA())</f>
        <v/>
      </c>
      <c r="R396">
        <f>IF(395&lt;=$I$8, INDEX('Precios Diarios'!$F$2:$F$531, $G$8 - 1 + 395 - 1), NA())</f>
        <v/>
      </c>
    </row>
    <row r="397">
      <c r="P397" s="2">
        <f>IF(396&lt;=$I$8, INDEX('Precios Diarios'!$A$2:$A$531, $G$8 - 1 + 396 - 1), NA())</f>
        <v/>
      </c>
      <c r="Q397">
        <f>IF(396&lt;=$I$8, INDEX('Precios Diarios'!$E$2:$E$531, $G$8 - 1 + 396 - 1), NA())</f>
        <v/>
      </c>
      <c r="R397">
        <f>IF(396&lt;=$I$8, INDEX('Precios Diarios'!$F$2:$F$531, $G$8 - 1 + 396 - 1), NA())</f>
        <v/>
      </c>
    </row>
    <row r="398">
      <c r="P398" s="2">
        <f>IF(397&lt;=$I$8, INDEX('Precios Diarios'!$A$2:$A$531, $G$8 - 1 + 397 - 1), NA())</f>
        <v/>
      </c>
      <c r="Q398">
        <f>IF(397&lt;=$I$8, INDEX('Precios Diarios'!$E$2:$E$531, $G$8 - 1 + 397 - 1), NA())</f>
        <v/>
      </c>
      <c r="R398">
        <f>IF(397&lt;=$I$8, INDEX('Precios Diarios'!$F$2:$F$531, $G$8 - 1 + 397 - 1), NA())</f>
        <v/>
      </c>
    </row>
    <row r="399">
      <c r="P399" s="2">
        <f>IF(398&lt;=$I$8, INDEX('Precios Diarios'!$A$2:$A$531, $G$8 - 1 + 398 - 1), NA())</f>
        <v/>
      </c>
      <c r="Q399">
        <f>IF(398&lt;=$I$8, INDEX('Precios Diarios'!$E$2:$E$531, $G$8 - 1 + 398 - 1), NA())</f>
        <v/>
      </c>
      <c r="R399">
        <f>IF(398&lt;=$I$8, INDEX('Precios Diarios'!$F$2:$F$531, $G$8 - 1 + 398 - 1), NA())</f>
        <v/>
      </c>
    </row>
    <row r="400">
      <c r="P400" s="2">
        <f>IF(399&lt;=$I$8, INDEX('Precios Diarios'!$A$2:$A$531, $G$8 - 1 + 399 - 1), NA())</f>
        <v/>
      </c>
      <c r="Q400">
        <f>IF(399&lt;=$I$8, INDEX('Precios Diarios'!$E$2:$E$531, $G$8 - 1 + 399 - 1), NA())</f>
        <v/>
      </c>
      <c r="R400">
        <f>IF(399&lt;=$I$8, INDEX('Precios Diarios'!$F$2:$F$531, $G$8 - 1 + 399 - 1), NA())</f>
        <v/>
      </c>
    </row>
    <row r="401">
      <c r="P401" s="2">
        <f>IF(400&lt;=$I$8, INDEX('Precios Diarios'!$A$2:$A$531, $G$8 - 1 + 400 - 1), NA())</f>
        <v/>
      </c>
      <c r="Q401">
        <f>IF(400&lt;=$I$8, INDEX('Precios Diarios'!$E$2:$E$531, $G$8 - 1 + 400 - 1), NA())</f>
        <v/>
      </c>
      <c r="R401">
        <f>IF(400&lt;=$I$8, INDEX('Precios Diarios'!$F$2:$F$531, $G$8 - 1 + 400 - 1), NA())</f>
        <v/>
      </c>
    </row>
    <row r="402">
      <c r="P402" s="2">
        <f>IF(401&lt;=$I$8, INDEX('Precios Diarios'!$A$2:$A$531, $G$8 - 1 + 401 - 1), NA())</f>
        <v/>
      </c>
      <c r="Q402">
        <f>IF(401&lt;=$I$8, INDEX('Precios Diarios'!$E$2:$E$531, $G$8 - 1 + 401 - 1), NA())</f>
        <v/>
      </c>
      <c r="R402">
        <f>IF(401&lt;=$I$8, INDEX('Precios Diarios'!$F$2:$F$531, $G$8 - 1 + 401 - 1), NA())</f>
        <v/>
      </c>
    </row>
    <row r="403">
      <c r="P403" s="2">
        <f>IF(402&lt;=$I$8, INDEX('Precios Diarios'!$A$2:$A$531, $G$8 - 1 + 402 - 1), NA())</f>
        <v/>
      </c>
      <c r="Q403">
        <f>IF(402&lt;=$I$8, INDEX('Precios Diarios'!$E$2:$E$531, $G$8 - 1 + 402 - 1), NA())</f>
        <v/>
      </c>
      <c r="R403">
        <f>IF(402&lt;=$I$8, INDEX('Precios Diarios'!$F$2:$F$531, $G$8 - 1 + 402 - 1), NA())</f>
        <v/>
      </c>
    </row>
    <row r="404">
      <c r="P404" s="2">
        <f>IF(403&lt;=$I$8, INDEX('Precios Diarios'!$A$2:$A$531, $G$8 - 1 + 403 - 1), NA())</f>
        <v/>
      </c>
      <c r="Q404">
        <f>IF(403&lt;=$I$8, INDEX('Precios Diarios'!$E$2:$E$531, $G$8 - 1 + 403 - 1), NA())</f>
        <v/>
      </c>
      <c r="R404">
        <f>IF(403&lt;=$I$8, INDEX('Precios Diarios'!$F$2:$F$531, $G$8 - 1 + 403 - 1), NA())</f>
        <v/>
      </c>
    </row>
    <row r="405">
      <c r="P405" s="2">
        <f>IF(404&lt;=$I$8, INDEX('Precios Diarios'!$A$2:$A$531, $G$8 - 1 + 404 - 1), NA())</f>
        <v/>
      </c>
      <c r="Q405">
        <f>IF(404&lt;=$I$8, INDEX('Precios Diarios'!$E$2:$E$531, $G$8 - 1 + 404 - 1), NA())</f>
        <v/>
      </c>
      <c r="R405">
        <f>IF(404&lt;=$I$8, INDEX('Precios Diarios'!$F$2:$F$531, $G$8 - 1 + 404 - 1), NA())</f>
        <v/>
      </c>
    </row>
    <row r="406">
      <c r="P406" s="2">
        <f>IF(405&lt;=$I$8, INDEX('Precios Diarios'!$A$2:$A$531, $G$8 - 1 + 405 - 1), NA())</f>
        <v/>
      </c>
      <c r="Q406">
        <f>IF(405&lt;=$I$8, INDEX('Precios Diarios'!$E$2:$E$531, $G$8 - 1 + 405 - 1), NA())</f>
        <v/>
      </c>
      <c r="R406">
        <f>IF(405&lt;=$I$8, INDEX('Precios Diarios'!$F$2:$F$531, $G$8 - 1 + 405 - 1), NA())</f>
        <v/>
      </c>
    </row>
    <row r="407">
      <c r="P407" s="2">
        <f>IF(406&lt;=$I$8, INDEX('Precios Diarios'!$A$2:$A$531, $G$8 - 1 + 406 - 1), NA())</f>
        <v/>
      </c>
      <c r="Q407">
        <f>IF(406&lt;=$I$8, INDEX('Precios Diarios'!$E$2:$E$531, $G$8 - 1 + 406 - 1), NA())</f>
        <v/>
      </c>
      <c r="R407">
        <f>IF(406&lt;=$I$8, INDEX('Precios Diarios'!$F$2:$F$531, $G$8 - 1 + 406 - 1), NA())</f>
        <v/>
      </c>
    </row>
    <row r="408">
      <c r="P408" s="2">
        <f>IF(407&lt;=$I$8, INDEX('Precios Diarios'!$A$2:$A$531, $G$8 - 1 + 407 - 1), NA())</f>
        <v/>
      </c>
      <c r="Q408">
        <f>IF(407&lt;=$I$8, INDEX('Precios Diarios'!$E$2:$E$531, $G$8 - 1 + 407 - 1), NA())</f>
        <v/>
      </c>
      <c r="R408">
        <f>IF(407&lt;=$I$8, INDEX('Precios Diarios'!$F$2:$F$531, $G$8 - 1 + 407 - 1), NA())</f>
        <v/>
      </c>
    </row>
    <row r="409">
      <c r="P409" s="2">
        <f>IF(408&lt;=$I$8, INDEX('Precios Diarios'!$A$2:$A$531, $G$8 - 1 + 408 - 1), NA())</f>
        <v/>
      </c>
      <c r="Q409">
        <f>IF(408&lt;=$I$8, INDEX('Precios Diarios'!$E$2:$E$531, $G$8 - 1 + 408 - 1), NA())</f>
        <v/>
      </c>
      <c r="R409">
        <f>IF(408&lt;=$I$8, INDEX('Precios Diarios'!$F$2:$F$531, $G$8 - 1 + 408 - 1), NA())</f>
        <v/>
      </c>
    </row>
    <row r="410">
      <c r="P410" s="2">
        <f>IF(409&lt;=$I$8, INDEX('Precios Diarios'!$A$2:$A$531, $G$8 - 1 + 409 - 1), NA())</f>
        <v/>
      </c>
      <c r="Q410">
        <f>IF(409&lt;=$I$8, INDEX('Precios Diarios'!$E$2:$E$531, $G$8 - 1 + 409 - 1), NA())</f>
        <v/>
      </c>
      <c r="R410">
        <f>IF(409&lt;=$I$8, INDEX('Precios Diarios'!$F$2:$F$531, $G$8 - 1 + 409 - 1), NA())</f>
        <v/>
      </c>
    </row>
    <row r="411">
      <c r="P411" s="2">
        <f>IF(410&lt;=$I$8, INDEX('Precios Diarios'!$A$2:$A$531, $G$8 - 1 + 410 - 1), NA())</f>
        <v/>
      </c>
      <c r="Q411">
        <f>IF(410&lt;=$I$8, INDEX('Precios Diarios'!$E$2:$E$531, $G$8 - 1 + 410 - 1), NA())</f>
        <v/>
      </c>
      <c r="R411">
        <f>IF(410&lt;=$I$8, INDEX('Precios Diarios'!$F$2:$F$531, $G$8 - 1 + 410 - 1), NA())</f>
        <v/>
      </c>
    </row>
    <row r="412">
      <c r="P412" s="2">
        <f>IF(411&lt;=$I$8, INDEX('Precios Diarios'!$A$2:$A$531, $G$8 - 1 + 411 - 1), NA())</f>
        <v/>
      </c>
      <c r="Q412">
        <f>IF(411&lt;=$I$8, INDEX('Precios Diarios'!$E$2:$E$531, $G$8 - 1 + 411 - 1), NA())</f>
        <v/>
      </c>
      <c r="R412">
        <f>IF(411&lt;=$I$8, INDEX('Precios Diarios'!$F$2:$F$531, $G$8 - 1 + 411 - 1), NA())</f>
        <v/>
      </c>
    </row>
    <row r="413">
      <c r="P413" s="2">
        <f>IF(412&lt;=$I$8, INDEX('Precios Diarios'!$A$2:$A$531, $G$8 - 1 + 412 - 1), NA())</f>
        <v/>
      </c>
      <c r="Q413">
        <f>IF(412&lt;=$I$8, INDEX('Precios Diarios'!$E$2:$E$531, $G$8 - 1 + 412 - 1), NA())</f>
        <v/>
      </c>
      <c r="R413">
        <f>IF(412&lt;=$I$8, INDEX('Precios Diarios'!$F$2:$F$531, $G$8 - 1 + 412 - 1), NA())</f>
        <v/>
      </c>
    </row>
    <row r="414">
      <c r="P414" s="2">
        <f>IF(413&lt;=$I$8, INDEX('Precios Diarios'!$A$2:$A$531, $G$8 - 1 + 413 - 1), NA())</f>
        <v/>
      </c>
      <c r="Q414">
        <f>IF(413&lt;=$I$8, INDEX('Precios Diarios'!$E$2:$E$531, $G$8 - 1 + 413 - 1), NA())</f>
        <v/>
      </c>
      <c r="R414">
        <f>IF(413&lt;=$I$8, INDEX('Precios Diarios'!$F$2:$F$531, $G$8 - 1 + 413 - 1), NA())</f>
        <v/>
      </c>
    </row>
    <row r="415">
      <c r="P415" s="2">
        <f>IF(414&lt;=$I$8, INDEX('Precios Diarios'!$A$2:$A$531, $G$8 - 1 + 414 - 1), NA())</f>
        <v/>
      </c>
      <c r="Q415">
        <f>IF(414&lt;=$I$8, INDEX('Precios Diarios'!$E$2:$E$531, $G$8 - 1 + 414 - 1), NA())</f>
        <v/>
      </c>
      <c r="R415">
        <f>IF(414&lt;=$I$8, INDEX('Precios Diarios'!$F$2:$F$531, $G$8 - 1 + 414 - 1), NA())</f>
        <v/>
      </c>
    </row>
    <row r="416">
      <c r="P416" s="2">
        <f>IF(415&lt;=$I$8, INDEX('Precios Diarios'!$A$2:$A$531, $G$8 - 1 + 415 - 1), NA())</f>
        <v/>
      </c>
      <c r="Q416">
        <f>IF(415&lt;=$I$8, INDEX('Precios Diarios'!$E$2:$E$531, $G$8 - 1 + 415 - 1), NA())</f>
        <v/>
      </c>
      <c r="R416">
        <f>IF(415&lt;=$I$8, INDEX('Precios Diarios'!$F$2:$F$531, $G$8 - 1 + 415 - 1), NA())</f>
        <v/>
      </c>
    </row>
    <row r="417">
      <c r="P417" s="2">
        <f>IF(416&lt;=$I$8, INDEX('Precios Diarios'!$A$2:$A$531, $G$8 - 1 + 416 - 1), NA())</f>
        <v/>
      </c>
      <c r="Q417">
        <f>IF(416&lt;=$I$8, INDEX('Precios Diarios'!$E$2:$E$531, $G$8 - 1 + 416 - 1), NA())</f>
        <v/>
      </c>
      <c r="R417">
        <f>IF(416&lt;=$I$8, INDEX('Precios Diarios'!$F$2:$F$531, $G$8 - 1 + 416 - 1), NA())</f>
        <v/>
      </c>
    </row>
    <row r="418">
      <c r="P418" s="2">
        <f>IF(417&lt;=$I$8, INDEX('Precios Diarios'!$A$2:$A$531, $G$8 - 1 + 417 - 1), NA())</f>
        <v/>
      </c>
      <c r="Q418">
        <f>IF(417&lt;=$I$8, INDEX('Precios Diarios'!$E$2:$E$531, $G$8 - 1 + 417 - 1), NA())</f>
        <v/>
      </c>
      <c r="R418">
        <f>IF(417&lt;=$I$8, INDEX('Precios Diarios'!$F$2:$F$531, $G$8 - 1 + 417 - 1), NA())</f>
        <v/>
      </c>
    </row>
    <row r="419">
      <c r="P419" s="2">
        <f>IF(418&lt;=$I$8, INDEX('Precios Diarios'!$A$2:$A$531, $G$8 - 1 + 418 - 1), NA())</f>
        <v/>
      </c>
      <c r="Q419">
        <f>IF(418&lt;=$I$8, INDEX('Precios Diarios'!$E$2:$E$531, $G$8 - 1 + 418 - 1), NA())</f>
        <v/>
      </c>
      <c r="R419">
        <f>IF(418&lt;=$I$8, INDEX('Precios Diarios'!$F$2:$F$531, $G$8 - 1 + 418 - 1), NA())</f>
        <v/>
      </c>
    </row>
    <row r="420">
      <c r="P420" s="2">
        <f>IF(419&lt;=$I$8, INDEX('Precios Diarios'!$A$2:$A$531, $G$8 - 1 + 419 - 1), NA())</f>
        <v/>
      </c>
      <c r="Q420">
        <f>IF(419&lt;=$I$8, INDEX('Precios Diarios'!$E$2:$E$531, $G$8 - 1 + 419 - 1), NA())</f>
        <v/>
      </c>
      <c r="R420">
        <f>IF(419&lt;=$I$8, INDEX('Precios Diarios'!$F$2:$F$531, $G$8 - 1 + 419 - 1), NA())</f>
        <v/>
      </c>
    </row>
    <row r="421">
      <c r="P421" s="2">
        <f>IF(420&lt;=$I$8, INDEX('Precios Diarios'!$A$2:$A$531, $G$8 - 1 + 420 - 1), NA())</f>
        <v/>
      </c>
      <c r="Q421">
        <f>IF(420&lt;=$I$8, INDEX('Precios Diarios'!$E$2:$E$531, $G$8 - 1 + 420 - 1), NA())</f>
        <v/>
      </c>
      <c r="R421">
        <f>IF(420&lt;=$I$8, INDEX('Precios Diarios'!$F$2:$F$531, $G$8 - 1 + 420 - 1), NA())</f>
        <v/>
      </c>
    </row>
    <row r="422">
      <c r="P422" s="2">
        <f>IF(421&lt;=$I$8, INDEX('Precios Diarios'!$A$2:$A$531, $G$8 - 1 + 421 - 1), NA())</f>
        <v/>
      </c>
      <c r="Q422">
        <f>IF(421&lt;=$I$8, INDEX('Precios Diarios'!$E$2:$E$531, $G$8 - 1 + 421 - 1), NA())</f>
        <v/>
      </c>
      <c r="R422">
        <f>IF(421&lt;=$I$8, INDEX('Precios Diarios'!$F$2:$F$531, $G$8 - 1 + 421 - 1), NA())</f>
        <v/>
      </c>
    </row>
    <row r="423">
      <c r="P423" s="2">
        <f>IF(422&lt;=$I$8, INDEX('Precios Diarios'!$A$2:$A$531, $G$8 - 1 + 422 - 1), NA())</f>
        <v/>
      </c>
      <c r="Q423">
        <f>IF(422&lt;=$I$8, INDEX('Precios Diarios'!$E$2:$E$531, $G$8 - 1 + 422 - 1), NA())</f>
        <v/>
      </c>
      <c r="R423">
        <f>IF(422&lt;=$I$8, INDEX('Precios Diarios'!$F$2:$F$531, $G$8 - 1 + 422 - 1), NA())</f>
        <v/>
      </c>
    </row>
    <row r="424">
      <c r="P424" s="2">
        <f>IF(423&lt;=$I$8, INDEX('Precios Diarios'!$A$2:$A$531, $G$8 - 1 + 423 - 1), NA())</f>
        <v/>
      </c>
      <c r="Q424">
        <f>IF(423&lt;=$I$8, INDEX('Precios Diarios'!$E$2:$E$531, $G$8 - 1 + 423 - 1), NA())</f>
        <v/>
      </c>
      <c r="R424">
        <f>IF(423&lt;=$I$8, INDEX('Precios Diarios'!$F$2:$F$531, $G$8 - 1 + 423 - 1), NA())</f>
        <v/>
      </c>
    </row>
    <row r="425">
      <c r="P425" s="2">
        <f>IF(424&lt;=$I$8, INDEX('Precios Diarios'!$A$2:$A$531, $G$8 - 1 + 424 - 1), NA())</f>
        <v/>
      </c>
      <c r="Q425">
        <f>IF(424&lt;=$I$8, INDEX('Precios Diarios'!$E$2:$E$531, $G$8 - 1 + 424 - 1), NA())</f>
        <v/>
      </c>
      <c r="R425">
        <f>IF(424&lt;=$I$8, INDEX('Precios Diarios'!$F$2:$F$531, $G$8 - 1 + 424 - 1), NA())</f>
        <v/>
      </c>
    </row>
    <row r="426">
      <c r="P426" s="2">
        <f>IF(425&lt;=$I$8, INDEX('Precios Diarios'!$A$2:$A$531, $G$8 - 1 + 425 - 1), NA())</f>
        <v/>
      </c>
      <c r="Q426">
        <f>IF(425&lt;=$I$8, INDEX('Precios Diarios'!$E$2:$E$531, $G$8 - 1 + 425 - 1), NA())</f>
        <v/>
      </c>
      <c r="R426">
        <f>IF(425&lt;=$I$8, INDEX('Precios Diarios'!$F$2:$F$531, $G$8 - 1 + 425 - 1), NA())</f>
        <v/>
      </c>
    </row>
    <row r="427">
      <c r="P427" s="2">
        <f>IF(426&lt;=$I$8, INDEX('Precios Diarios'!$A$2:$A$531, $G$8 - 1 + 426 - 1), NA())</f>
        <v/>
      </c>
      <c r="Q427">
        <f>IF(426&lt;=$I$8, INDEX('Precios Diarios'!$E$2:$E$531, $G$8 - 1 + 426 - 1), NA())</f>
        <v/>
      </c>
      <c r="R427">
        <f>IF(426&lt;=$I$8, INDEX('Precios Diarios'!$F$2:$F$531, $G$8 - 1 + 426 - 1), NA())</f>
        <v/>
      </c>
    </row>
    <row r="428">
      <c r="P428" s="2">
        <f>IF(427&lt;=$I$8, INDEX('Precios Diarios'!$A$2:$A$531, $G$8 - 1 + 427 - 1), NA())</f>
        <v/>
      </c>
      <c r="Q428">
        <f>IF(427&lt;=$I$8, INDEX('Precios Diarios'!$E$2:$E$531, $G$8 - 1 + 427 - 1), NA())</f>
        <v/>
      </c>
      <c r="R428">
        <f>IF(427&lt;=$I$8, INDEX('Precios Diarios'!$F$2:$F$531, $G$8 - 1 + 427 - 1), NA())</f>
        <v/>
      </c>
    </row>
    <row r="429">
      <c r="P429" s="2">
        <f>IF(428&lt;=$I$8, INDEX('Precios Diarios'!$A$2:$A$531, $G$8 - 1 + 428 - 1), NA())</f>
        <v/>
      </c>
      <c r="Q429">
        <f>IF(428&lt;=$I$8, INDEX('Precios Diarios'!$E$2:$E$531, $G$8 - 1 + 428 - 1), NA())</f>
        <v/>
      </c>
      <c r="R429">
        <f>IF(428&lt;=$I$8, INDEX('Precios Diarios'!$F$2:$F$531, $G$8 - 1 + 428 - 1), NA())</f>
        <v/>
      </c>
    </row>
    <row r="430">
      <c r="P430" s="2">
        <f>IF(429&lt;=$I$8, INDEX('Precios Diarios'!$A$2:$A$531, $G$8 - 1 + 429 - 1), NA())</f>
        <v/>
      </c>
      <c r="Q430">
        <f>IF(429&lt;=$I$8, INDEX('Precios Diarios'!$E$2:$E$531, $G$8 - 1 + 429 - 1), NA())</f>
        <v/>
      </c>
      <c r="R430">
        <f>IF(429&lt;=$I$8, INDEX('Precios Diarios'!$F$2:$F$531, $G$8 - 1 + 429 - 1), NA())</f>
        <v/>
      </c>
    </row>
    <row r="431">
      <c r="P431" s="2">
        <f>IF(430&lt;=$I$8, INDEX('Precios Diarios'!$A$2:$A$531, $G$8 - 1 + 430 - 1), NA())</f>
        <v/>
      </c>
      <c r="Q431">
        <f>IF(430&lt;=$I$8, INDEX('Precios Diarios'!$E$2:$E$531, $G$8 - 1 + 430 - 1), NA())</f>
        <v/>
      </c>
      <c r="R431">
        <f>IF(430&lt;=$I$8, INDEX('Precios Diarios'!$F$2:$F$531, $G$8 - 1 + 430 - 1), NA())</f>
        <v/>
      </c>
    </row>
    <row r="432">
      <c r="P432" s="2">
        <f>IF(431&lt;=$I$8, INDEX('Precios Diarios'!$A$2:$A$531, $G$8 - 1 + 431 - 1), NA())</f>
        <v/>
      </c>
      <c r="Q432">
        <f>IF(431&lt;=$I$8, INDEX('Precios Diarios'!$E$2:$E$531, $G$8 - 1 + 431 - 1), NA())</f>
        <v/>
      </c>
      <c r="R432">
        <f>IF(431&lt;=$I$8, INDEX('Precios Diarios'!$F$2:$F$531, $G$8 - 1 + 431 - 1), NA())</f>
        <v/>
      </c>
    </row>
    <row r="433">
      <c r="P433" s="2">
        <f>IF(432&lt;=$I$8, INDEX('Precios Diarios'!$A$2:$A$531, $G$8 - 1 + 432 - 1), NA())</f>
        <v/>
      </c>
      <c r="Q433">
        <f>IF(432&lt;=$I$8, INDEX('Precios Diarios'!$E$2:$E$531, $G$8 - 1 + 432 - 1), NA())</f>
        <v/>
      </c>
      <c r="R433">
        <f>IF(432&lt;=$I$8, INDEX('Precios Diarios'!$F$2:$F$531, $G$8 - 1 + 432 - 1), NA())</f>
        <v/>
      </c>
    </row>
    <row r="434">
      <c r="P434" s="2">
        <f>IF(433&lt;=$I$8, INDEX('Precios Diarios'!$A$2:$A$531, $G$8 - 1 + 433 - 1), NA())</f>
        <v/>
      </c>
      <c r="Q434">
        <f>IF(433&lt;=$I$8, INDEX('Precios Diarios'!$E$2:$E$531, $G$8 - 1 + 433 - 1), NA())</f>
        <v/>
      </c>
      <c r="R434">
        <f>IF(433&lt;=$I$8, INDEX('Precios Diarios'!$F$2:$F$531, $G$8 - 1 + 433 - 1), NA())</f>
        <v/>
      </c>
    </row>
    <row r="435">
      <c r="P435" s="2">
        <f>IF(434&lt;=$I$8, INDEX('Precios Diarios'!$A$2:$A$531, $G$8 - 1 + 434 - 1), NA())</f>
        <v/>
      </c>
      <c r="Q435">
        <f>IF(434&lt;=$I$8, INDEX('Precios Diarios'!$E$2:$E$531, $G$8 - 1 + 434 - 1), NA())</f>
        <v/>
      </c>
      <c r="R435">
        <f>IF(434&lt;=$I$8, INDEX('Precios Diarios'!$F$2:$F$531, $G$8 - 1 + 434 - 1), NA())</f>
        <v/>
      </c>
    </row>
    <row r="436">
      <c r="P436" s="2">
        <f>IF(435&lt;=$I$8, INDEX('Precios Diarios'!$A$2:$A$531, $G$8 - 1 + 435 - 1), NA())</f>
        <v/>
      </c>
      <c r="Q436">
        <f>IF(435&lt;=$I$8, INDEX('Precios Diarios'!$E$2:$E$531, $G$8 - 1 + 435 - 1), NA())</f>
        <v/>
      </c>
      <c r="R436">
        <f>IF(435&lt;=$I$8, INDEX('Precios Diarios'!$F$2:$F$531, $G$8 - 1 + 435 - 1), NA())</f>
        <v/>
      </c>
    </row>
    <row r="437">
      <c r="P437" s="2">
        <f>IF(436&lt;=$I$8, INDEX('Precios Diarios'!$A$2:$A$531, $G$8 - 1 + 436 - 1), NA())</f>
        <v/>
      </c>
      <c r="Q437">
        <f>IF(436&lt;=$I$8, INDEX('Precios Diarios'!$E$2:$E$531, $G$8 - 1 + 436 - 1), NA())</f>
        <v/>
      </c>
      <c r="R437">
        <f>IF(436&lt;=$I$8, INDEX('Precios Diarios'!$F$2:$F$531, $G$8 - 1 + 436 - 1), NA())</f>
        <v/>
      </c>
    </row>
    <row r="438">
      <c r="P438" s="2">
        <f>IF(437&lt;=$I$8, INDEX('Precios Diarios'!$A$2:$A$531, $G$8 - 1 + 437 - 1), NA())</f>
        <v/>
      </c>
      <c r="Q438">
        <f>IF(437&lt;=$I$8, INDEX('Precios Diarios'!$E$2:$E$531, $G$8 - 1 + 437 - 1), NA())</f>
        <v/>
      </c>
      <c r="R438">
        <f>IF(437&lt;=$I$8, INDEX('Precios Diarios'!$F$2:$F$531, $G$8 - 1 + 437 - 1), NA())</f>
        <v/>
      </c>
    </row>
    <row r="439">
      <c r="P439" s="2">
        <f>IF(438&lt;=$I$8, INDEX('Precios Diarios'!$A$2:$A$531, $G$8 - 1 + 438 - 1), NA())</f>
        <v/>
      </c>
      <c r="Q439">
        <f>IF(438&lt;=$I$8, INDEX('Precios Diarios'!$E$2:$E$531, $G$8 - 1 + 438 - 1), NA())</f>
        <v/>
      </c>
      <c r="R439">
        <f>IF(438&lt;=$I$8, INDEX('Precios Diarios'!$F$2:$F$531, $G$8 - 1 + 438 - 1), NA())</f>
        <v/>
      </c>
    </row>
    <row r="440">
      <c r="P440" s="2">
        <f>IF(439&lt;=$I$8, INDEX('Precios Diarios'!$A$2:$A$531, $G$8 - 1 + 439 - 1), NA())</f>
        <v/>
      </c>
      <c r="Q440">
        <f>IF(439&lt;=$I$8, INDEX('Precios Diarios'!$E$2:$E$531, $G$8 - 1 + 439 - 1), NA())</f>
        <v/>
      </c>
      <c r="R440">
        <f>IF(439&lt;=$I$8, INDEX('Precios Diarios'!$F$2:$F$531, $G$8 - 1 + 439 - 1), NA())</f>
        <v/>
      </c>
    </row>
    <row r="441">
      <c r="P441" s="2">
        <f>IF(440&lt;=$I$8, INDEX('Precios Diarios'!$A$2:$A$531, $G$8 - 1 + 440 - 1), NA())</f>
        <v/>
      </c>
      <c r="Q441">
        <f>IF(440&lt;=$I$8, INDEX('Precios Diarios'!$E$2:$E$531, $G$8 - 1 + 440 - 1), NA())</f>
        <v/>
      </c>
      <c r="R441">
        <f>IF(440&lt;=$I$8, INDEX('Precios Diarios'!$F$2:$F$531, $G$8 - 1 + 440 - 1), NA())</f>
        <v/>
      </c>
    </row>
    <row r="442">
      <c r="P442" s="2">
        <f>IF(441&lt;=$I$8, INDEX('Precios Diarios'!$A$2:$A$531, $G$8 - 1 + 441 - 1), NA())</f>
        <v/>
      </c>
      <c r="Q442">
        <f>IF(441&lt;=$I$8, INDEX('Precios Diarios'!$E$2:$E$531, $G$8 - 1 + 441 - 1), NA())</f>
        <v/>
      </c>
      <c r="R442">
        <f>IF(441&lt;=$I$8, INDEX('Precios Diarios'!$F$2:$F$531, $G$8 - 1 + 441 - 1), NA())</f>
        <v/>
      </c>
    </row>
    <row r="443">
      <c r="P443" s="2">
        <f>IF(442&lt;=$I$8, INDEX('Precios Diarios'!$A$2:$A$531, $G$8 - 1 + 442 - 1), NA())</f>
        <v/>
      </c>
      <c r="Q443">
        <f>IF(442&lt;=$I$8, INDEX('Precios Diarios'!$E$2:$E$531, $G$8 - 1 + 442 - 1), NA())</f>
        <v/>
      </c>
      <c r="R443">
        <f>IF(442&lt;=$I$8, INDEX('Precios Diarios'!$F$2:$F$531, $G$8 - 1 + 442 - 1), NA())</f>
        <v/>
      </c>
    </row>
    <row r="444">
      <c r="P444" s="2">
        <f>IF(443&lt;=$I$8, INDEX('Precios Diarios'!$A$2:$A$531, $G$8 - 1 + 443 - 1), NA())</f>
        <v/>
      </c>
      <c r="Q444">
        <f>IF(443&lt;=$I$8, INDEX('Precios Diarios'!$E$2:$E$531, $G$8 - 1 + 443 - 1), NA())</f>
        <v/>
      </c>
      <c r="R444">
        <f>IF(443&lt;=$I$8, INDEX('Precios Diarios'!$F$2:$F$531, $G$8 - 1 + 443 - 1), NA())</f>
        <v/>
      </c>
    </row>
    <row r="445">
      <c r="P445" s="2">
        <f>IF(444&lt;=$I$8, INDEX('Precios Diarios'!$A$2:$A$531, $G$8 - 1 + 444 - 1), NA())</f>
        <v/>
      </c>
      <c r="Q445">
        <f>IF(444&lt;=$I$8, INDEX('Precios Diarios'!$E$2:$E$531, $G$8 - 1 + 444 - 1), NA())</f>
        <v/>
      </c>
      <c r="R445">
        <f>IF(444&lt;=$I$8, INDEX('Precios Diarios'!$F$2:$F$531, $G$8 - 1 + 444 - 1), NA())</f>
        <v/>
      </c>
    </row>
    <row r="446">
      <c r="P446" s="2">
        <f>IF(445&lt;=$I$8, INDEX('Precios Diarios'!$A$2:$A$531, $G$8 - 1 + 445 - 1), NA())</f>
        <v/>
      </c>
      <c r="Q446">
        <f>IF(445&lt;=$I$8, INDEX('Precios Diarios'!$E$2:$E$531, $G$8 - 1 + 445 - 1), NA())</f>
        <v/>
      </c>
      <c r="R446">
        <f>IF(445&lt;=$I$8, INDEX('Precios Diarios'!$F$2:$F$531, $G$8 - 1 + 445 - 1), NA())</f>
        <v/>
      </c>
    </row>
    <row r="447">
      <c r="P447" s="2">
        <f>IF(446&lt;=$I$8, INDEX('Precios Diarios'!$A$2:$A$531, $G$8 - 1 + 446 - 1), NA())</f>
        <v/>
      </c>
      <c r="Q447">
        <f>IF(446&lt;=$I$8, INDEX('Precios Diarios'!$E$2:$E$531, $G$8 - 1 + 446 - 1), NA())</f>
        <v/>
      </c>
      <c r="R447">
        <f>IF(446&lt;=$I$8, INDEX('Precios Diarios'!$F$2:$F$531, $G$8 - 1 + 446 - 1), NA())</f>
        <v/>
      </c>
    </row>
    <row r="448">
      <c r="P448" s="2">
        <f>IF(447&lt;=$I$8, INDEX('Precios Diarios'!$A$2:$A$531, $G$8 - 1 + 447 - 1), NA())</f>
        <v/>
      </c>
      <c r="Q448">
        <f>IF(447&lt;=$I$8, INDEX('Precios Diarios'!$E$2:$E$531, $G$8 - 1 + 447 - 1), NA())</f>
        <v/>
      </c>
      <c r="R448">
        <f>IF(447&lt;=$I$8, INDEX('Precios Diarios'!$F$2:$F$531, $G$8 - 1 + 447 - 1), NA())</f>
        <v/>
      </c>
    </row>
    <row r="449">
      <c r="P449" s="2">
        <f>IF(448&lt;=$I$8, INDEX('Precios Diarios'!$A$2:$A$531, $G$8 - 1 + 448 - 1), NA())</f>
        <v/>
      </c>
      <c r="Q449">
        <f>IF(448&lt;=$I$8, INDEX('Precios Diarios'!$E$2:$E$531, $G$8 - 1 + 448 - 1), NA())</f>
        <v/>
      </c>
      <c r="R449">
        <f>IF(448&lt;=$I$8, INDEX('Precios Diarios'!$F$2:$F$531, $G$8 - 1 + 448 - 1), NA())</f>
        <v/>
      </c>
    </row>
    <row r="450">
      <c r="P450" s="2">
        <f>IF(449&lt;=$I$8, INDEX('Precios Diarios'!$A$2:$A$531, $G$8 - 1 + 449 - 1), NA())</f>
        <v/>
      </c>
      <c r="Q450">
        <f>IF(449&lt;=$I$8, INDEX('Precios Diarios'!$E$2:$E$531, $G$8 - 1 + 449 - 1), NA())</f>
        <v/>
      </c>
      <c r="R450">
        <f>IF(449&lt;=$I$8, INDEX('Precios Diarios'!$F$2:$F$531, $G$8 - 1 + 449 - 1), NA())</f>
        <v/>
      </c>
    </row>
    <row r="451">
      <c r="P451" s="2">
        <f>IF(450&lt;=$I$8, INDEX('Precios Diarios'!$A$2:$A$531, $G$8 - 1 + 450 - 1), NA())</f>
        <v/>
      </c>
      <c r="Q451">
        <f>IF(450&lt;=$I$8, INDEX('Precios Diarios'!$E$2:$E$531, $G$8 - 1 + 450 - 1), NA())</f>
        <v/>
      </c>
      <c r="R451">
        <f>IF(450&lt;=$I$8, INDEX('Precios Diarios'!$F$2:$F$531, $G$8 - 1 + 450 - 1), NA())</f>
        <v/>
      </c>
    </row>
    <row r="452">
      <c r="P452" s="2">
        <f>IF(451&lt;=$I$8, INDEX('Precios Diarios'!$A$2:$A$531, $G$8 - 1 + 451 - 1), NA())</f>
        <v/>
      </c>
      <c r="Q452">
        <f>IF(451&lt;=$I$8, INDEX('Precios Diarios'!$E$2:$E$531, $G$8 - 1 + 451 - 1), NA())</f>
        <v/>
      </c>
      <c r="R452">
        <f>IF(451&lt;=$I$8, INDEX('Precios Diarios'!$F$2:$F$531, $G$8 - 1 + 451 - 1), NA())</f>
        <v/>
      </c>
    </row>
    <row r="453">
      <c r="P453" s="2">
        <f>IF(452&lt;=$I$8, INDEX('Precios Diarios'!$A$2:$A$531, $G$8 - 1 + 452 - 1), NA())</f>
        <v/>
      </c>
      <c r="Q453">
        <f>IF(452&lt;=$I$8, INDEX('Precios Diarios'!$E$2:$E$531, $G$8 - 1 + 452 - 1), NA())</f>
        <v/>
      </c>
      <c r="R453">
        <f>IF(452&lt;=$I$8, INDEX('Precios Diarios'!$F$2:$F$531, $G$8 - 1 + 452 - 1), NA())</f>
        <v/>
      </c>
    </row>
    <row r="454">
      <c r="P454" s="2">
        <f>IF(453&lt;=$I$8, INDEX('Precios Diarios'!$A$2:$A$531, $G$8 - 1 + 453 - 1), NA())</f>
        <v/>
      </c>
      <c r="Q454">
        <f>IF(453&lt;=$I$8, INDEX('Precios Diarios'!$E$2:$E$531, $G$8 - 1 + 453 - 1), NA())</f>
        <v/>
      </c>
      <c r="R454">
        <f>IF(453&lt;=$I$8, INDEX('Precios Diarios'!$F$2:$F$531, $G$8 - 1 + 453 - 1), NA())</f>
        <v/>
      </c>
    </row>
    <row r="455">
      <c r="P455" s="2">
        <f>IF(454&lt;=$I$8, INDEX('Precios Diarios'!$A$2:$A$531, $G$8 - 1 + 454 - 1), NA())</f>
        <v/>
      </c>
      <c r="Q455">
        <f>IF(454&lt;=$I$8, INDEX('Precios Diarios'!$E$2:$E$531, $G$8 - 1 + 454 - 1), NA())</f>
        <v/>
      </c>
      <c r="R455">
        <f>IF(454&lt;=$I$8, INDEX('Precios Diarios'!$F$2:$F$531, $G$8 - 1 + 454 - 1), NA())</f>
        <v/>
      </c>
    </row>
    <row r="456">
      <c r="P456" s="2">
        <f>IF(455&lt;=$I$8, INDEX('Precios Diarios'!$A$2:$A$531, $G$8 - 1 + 455 - 1), NA())</f>
        <v/>
      </c>
      <c r="Q456">
        <f>IF(455&lt;=$I$8, INDEX('Precios Diarios'!$E$2:$E$531, $G$8 - 1 + 455 - 1), NA())</f>
        <v/>
      </c>
      <c r="R456">
        <f>IF(455&lt;=$I$8, INDEX('Precios Diarios'!$F$2:$F$531, $G$8 - 1 + 455 - 1), NA())</f>
        <v/>
      </c>
    </row>
    <row r="457">
      <c r="P457" s="2">
        <f>IF(456&lt;=$I$8, INDEX('Precios Diarios'!$A$2:$A$531, $G$8 - 1 + 456 - 1), NA())</f>
        <v/>
      </c>
      <c r="Q457">
        <f>IF(456&lt;=$I$8, INDEX('Precios Diarios'!$E$2:$E$531, $G$8 - 1 + 456 - 1), NA())</f>
        <v/>
      </c>
      <c r="R457">
        <f>IF(456&lt;=$I$8, INDEX('Precios Diarios'!$F$2:$F$531, $G$8 - 1 + 456 - 1), NA())</f>
        <v/>
      </c>
    </row>
    <row r="458">
      <c r="P458" s="2">
        <f>IF(457&lt;=$I$8, INDEX('Precios Diarios'!$A$2:$A$531, $G$8 - 1 + 457 - 1), NA())</f>
        <v/>
      </c>
      <c r="Q458">
        <f>IF(457&lt;=$I$8, INDEX('Precios Diarios'!$E$2:$E$531, $G$8 - 1 + 457 - 1), NA())</f>
        <v/>
      </c>
      <c r="R458">
        <f>IF(457&lt;=$I$8, INDEX('Precios Diarios'!$F$2:$F$531, $G$8 - 1 + 457 - 1), NA())</f>
        <v/>
      </c>
    </row>
    <row r="459">
      <c r="P459" s="2">
        <f>IF(458&lt;=$I$8, INDEX('Precios Diarios'!$A$2:$A$531, $G$8 - 1 + 458 - 1), NA())</f>
        <v/>
      </c>
      <c r="Q459">
        <f>IF(458&lt;=$I$8, INDEX('Precios Diarios'!$E$2:$E$531, $G$8 - 1 + 458 - 1), NA())</f>
        <v/>
      </c>
      <c r="R459">
        <f>IF(458&lt;=$I$8, INDEX('Precios Diarios'!$F$2:$F$531, $G$8 - 1 + 458 - 1), NA())</f>
        <v/>
      </c>
    </row>
    <row r="460">
      <c r="P460" s="2">
        <f>IF(459&lt;=$I$8, INDEX('Precios Diarios'!$A$2:$A$531, $G$8 - 1 + 459 - 1), NA())</f>
        <v/>
      </c>
      <c r="Q460">
        <f>IF(459&lt;=$I$8, INDEX('Precios Diarios'!$E$2:$E$531, $G$8 - 1 + 459 - 1), NA())</f>
        <v/>
      </c>
      <c r="R460">
        <f>IF(459&lt;=$I$8, INDEX('Precios Diarios'!$F$2:$F$531, $G$8 - 1 + 459 - 1), NA())</f>
        <v/>
      </c>
    </row>
    <row r="461">
      <c r="P461" s="2">
        <f>IF(460&lt;=$I$8, INDEX('Precios Diarios'!$A$2:$A$531, $G$8 - 1 + 460 - 1), NA())</f>
        <v/>
      </c>
      <c r="Q461">
        <f>IF(460&lt;=$I$8, INDEX('Precios Diarios'!$E$2:$E$531, $G$8 - 1 + 460 - 1), NA())</f>
        <v/>
      </c>
      <c r="R461">
        <f>IF(460&lt;=$I$8, INDEX('Precios Diarios'!$F$2:$F$531, $G$8 - 1 + 460 - 1), NA())</f>
        <v/>
      </c>
    </row>
    <row r="462">
      <c r="P462" s="2">
        <f>IF(461&lt;=$I$8, INDEX('Precios Diarios'!$A$2:$A$531, $G$8 - 1 + 461 - 1), NA())</f>
        <v/>
      </c>
      <c r="Q462">
        <f>IF(461&lt;=$I$8, INDEX('Precios Diarios'!$E$2:$E$531, $G$8 - 1 + 461 - 1), NA())</f>
        <v/>
      </c>
      <c r="R462">
        <f>IF(461&lt;=$I$8, INDEX('Precios Diarios'!$F$2:$F$531, $G$8 - 1 + 461 - 1), NA())</f>
        <v/>
      </c>
    </row>
    <row r="463">
      <c r="P463" s="2">
        <f>IF(462&lt;=$I$8, INDEX('Precios Diarios'!$A$2:$A$531, $G$8 - 1 + 462 - 1), NA())</f>
        <v/>
      </c>
      <c r="Q463">
        <f>IF(462&lt;=$I$8, INDEX('Precios Diarios'!$E$2:$E$531, $G$8 - 1 + 462 - 1), NA())</f>
        <v/>
      </c>
      <c r="R463">
        <f>IF(462&lt;=$I$8, INDEX('Precios Diarios'!$F$2:$F$531, $G$8 - 1 + 462 - 1), NA())</f>
        <v/>
      </c>
    </row>
    <row r="464">
      <c r="P464" s="2">
        <f>IF(463&lt;=$I$8, INDEX('Precios Diarios'!$A$2:$A$531, $G$8 - 1 + 463 - 1), NA())</f>
        <v/>
      </c>
      <c r="Q464">
        <f>IF(463&lt;=$I$8, INDEX('Precios Diarios'!$E$2:$E$531, $G$8 - 1 + 463 - 1), NA())</f>
        <v/>
      </c>
      <c r="R464">
        <f>IF(463&lt;=$I$8, INDEX('Precios Diarios'!$F$2:$F$531, $G$8 - 1 + 463 - 1), NA())</f>
        <v/>
      </c>
    </row>
    <row r="465">
      <c r="P465" s="2">
        <f>IF(464&lt;=$I$8, INDEX('Precios Diarios'!$A$2:$A$531, $G$8 - 1 + 464 - 1), NA())</f>
        <v/>
      </c>
      <c r="Q465">
        <f>IF(464&lt;=$I$8, INDEX('Precios Diarios'!$E$2:$E$531, $G$8 - 1 + 464 - 1), NA())</f>
        <v/>
      </c>
      <c r="R465">
        <f>IF(464&lt;=$I$8, INDEX('Precios Diarios'!$F$2:$F$531, $G$8 - 1 + 464 - 1), NA())</f>
        <v/>
      </c>
    </row>
    <row r="466">
      <c r="P466" s="2">
        <f>IF(465&lt;=$I$8, INDEX('Precios Diarios'!$A$2:$A$531, $G$8 - 1 + 465 - 1), NA())</f>
        <v/>
      </c>
      <c r="Q466">
        <f>IF(465&lt;=$I$8, INDEX('Precios Diarios'!$E$2:$E$531, $G$8 - 1 + 465 - 1), NA())</f>
        <v/>
      </c>
      <c r="R466">
        <f>IF(465&lt;=$I$8, INDEX('Precios Diarios'!$F$2:$F$531, $G$8 - 1 + 465 - 1), NA())</f>
        <v/>
      </c>
    </row>
    <row r="467">
      <c r="P467" s="2">
        <f>IF(466&lt;=$I$8, INDEX('Precios Diarios'!$A$2:$A$531, $G$8 - 1 + 466 - 1), NA())</f>
        <v/>
      </c>
      <c r="Q467">
        <f>IF(466&lt;=$I$8, INDEX('Precios Diarios'!$E$2:$E$531, $G$8 - 1 + 466 - 1), NA())</f>
        <v/>
      </c>
      <c r="R467">
        <f>IF(466&lt;=$I$8, INDEX('Precios Diarios'!$F$2:$F$531, $G$8 - 1 + 466 - 1), NA())</f>
        <v/>
      </c>
    </row>
    <row r="468">
      <c r="P468" s="2">
        <f>IF(467&lt;=$I$8, INDEX('Precios Diarios'!$A$2:$A$531, $G$8 - 1 + 467 - 1), NA())</f>
        <v/>
      </c>
      <c r="Q468">
        <f>IF(467&lt;=$I$8, INDEX('Precios Diarios'!$E$2:$E$531, $G$8 - 1 + 467 - 1), NA())</f>
        <v/>
      </c>
      <c r="R468">
        <f>IF(467&lt;=$I$8, INDEX('Precios Diarios'!$F$2:$F$531, $G$8 - 1 + 467 - 1), NA())</f>
        <v/>
      </c>
    </row>
    <row r="469">
      <c r="P469" s="2">
        <f>IF(468&lt;=$I$8, INDEX('Precios Diarios'!$A$2:$A$531, $G$8 - 1 + 468 - 1), NA())</f>
        <v/>
      </c>
      <c r="Q469">
        <f>IF(468&lt;=$I$8, INDEX('Precios Diarios'!$E$2:$E$531, $G$8 - 1 + 468 - 1), NA())</f>
        <v/>
      </c>
      <c r="R469">
        <f>IF(468&lt;=$I$8, INDEX('Precios Diarios'!$F$2:$F$531, $G$8 - 1 + 468 - 1), NA())</f>
        <v/>
      </c>
    </row>
    <row r="470">
      <c r="P470" s="2">
        <f>IF(469&lt;=$I$8, INDEX('Precios Diarios'!$A$2:$A$531, $G$8 - 1 + 469 - 1), NA())</f>
        <v/>
      </c>
      <c r="Q470">
        <f>IF(469&lt;=$I$8, INDEX('Precios Diarios'!$E$2:$E$531, $G$8 - 1 + 469 - 1), NA())</f>
        <v/>
      </c>
      <c r="R470">
        <f>IF(469&lt;=$I$8, INDEX('Precios Diarios'!$F$2:$F$531, $G$8 - 1 + 469 - 1), NA())</f>
        <v/>
      </c>
    </row>
    <row r="471">
      <c r="P471" s="2">
        <f>IF(470&lt;=$I$8, INDEX('Precios Diarios'!$A$2:$A$531, $G$8 - 1 + 470 - 1), NA())</f>
        <v/>
      </c>
      <c r="Q471">
        <f>IF(470&lt;=$I$8, INDEX('Precios Diarios'!$E$2:$E$531, $G$8 - 1 + 470 - 1), NA())</f>
        <v/>
      </c>
      <c r="R471">
        <f>IF(470&lt;=$I$8, INDEX('Precios Diarios'!$F$2:$F$531, $G$8 - 1 + 470 - 1), NA())</f>
        <v/>
      </c>
    </row>
    <row r="472">
      <c r="P472" s="2">
        <f>IF(471&lt;=$I$8, INDEX('Precios Diarios'!$A$2:$A$531, $G$8 - 1 + 471 - 1), NA())</f>
        <v/>
      </c>
      <c r="Q472">
        <f>IF(471&lt;=$I$8, INDEX('Precios Diarios'!$E$2:$E$531, $G$8 - 1 + 471 - 1), NA())</f>
        <v/>
      </c>
      <c r="R472">
        <f>IF(471&lt;=$I$8, INDEX('Precios Diarios'!$F$2:$F$531, $G$8 - 1 + 471 - 1), NA())</f>
        <v/>
      </c>
    </row>
    <row r="473">
      <c r="P473" s="2">
        <f>IF(472&lt;=$I$8, INDEX('Precios Diarios'!$A$2:$A$531, $G$8 - 1 + 472 - 1), NA())</f>
        <v/>
      </c>
      <c r="Q473">
        <f>IF(472&lt;=$I$8, INDEX('Precios Diarios'!$E$2:$E$531, $G$8 - 1 + 472 - 1), NA())</f>
        <v/>
      </c>
      <c r="R473">
        <f>IF(472&lt;=$I$8, INDEX('Precios Diarios'!$F$2:$F$531, $G$8 - 1 + 472 - 1), NA())</f>
        <v/>
      </c>
    </row>
    <row r="474">
      <c r="P474" s="2">
        <f>IF(473&lt;=$I$8, INDEX('Precios Diarios'!$A$2:$A$531, $G$8 - 1 + 473 - 1), NA())</f>
        <v/>
      </c>
      <c r="Q474">
        <f>IF(473&lt;=$I$8, INDEX('Precios Diarios'!$E$2:$E$531, $G$8 - 1 + 473 - 1), NA())</f>
        <v/>
      </c>
      <c r="R474">
        <f>IF(473&lt;=$I$8, INDEX('Precios Diarios'!$F$2:$F$531, $G$8 - 1 + 473 - 1), NA())</f>
        <v/>
      </c>
    </row>
    <row r="475">
      <c r="P475" s="2">
        <f>IF(474&lt;=$I$8, INDEX('Precios Diarios'!$A$2:$A$531, $G$8 - 1 + 474 - 1), NA())</f>
        <v/>
      </c>
      <c r="Q475">
        <f>IF(474&lt;=$I$8, INDEX('Precios Diarios'!$E$2:$E$531, $G$8 - 1 + 474 - 1), NA())</f>
        <v/>
      </c>
      <c r="R475">
        <f>IF(474&lt;=$I$8, INDEX('Precios Diarios'!$F$2:$F$531, $G$8 - 1 + 474 - 1), NA())</f>
        <v/>
      </c>
    </row>
    <row r="476">
      <c r="P476" s="2">
        <f>IF(475&lt;=$I$8, INDEX('Precios Diarios'!$A$2:$A$531, $G$8 - 1 + 475 - 1), NA())</f>
        <v/>
      </c>
      <c r="Q476">
        <f>IF(475&lt;=$I$8, INDEX('Precios Diarios'!$E$2:$E$531, $G$8 - 1 + 475 - 1), NA())</f>
        <v/>
      </c>
      <c r="R476">
        <f>IF(475&lt;=$I$8, INDEX('Precios Diarios'!$F$2:$F$531, $G$8 - 1 + 475 - 1), NA())</f>
        <v/>
      </c>
    </row>
    <row r="477">
      <c r="P477" s="2">
        <f>IF(476&lt;=$I$8, INDEX('Precios Diarios'!$A$2:$A$531, $G$8 - 1 + 476 - 1), NA())</f>
        <v/>
      </c>
      <c r="Q477">
        <f>IF(476&lt;=$I$8, INDEX('Precios Diarios'!$E$2:$E$531, $G$8 - 1 + 476 - 1), NA())</f>
        <v/>
      </c>
      <c r="R477">
        <f>IF(476&lt;=$I$8, INDEX('Precios Diarios'!$F$2:$F$531, $G$8 - 1 + 476 - 1), NA())</f>
        <v/>
      </c>
    </row>
    <row r="478">
      <c r="P478" s="2">
        <f>IF(477&lt;=$I$8, INDEX('Precios Diarios'!$A$2:$A$531, $G$8 - 1 + 477 - 1), NA())</f>
        <v/>
      </c>
      <c r="Q478">
        <f>IF(477&lt;=$I$8, INDEX('Precios Diarios'!$E$2:$E$531, $G$8 - 1 + 477 - 1), NA())</f>
        <v/>
      </c>
      <c r="R478">
        <f>IF(477&lt;=$I$8, INDEX('Precios Diarios'!$F$2:$F$531, $G$8 - 1 + 477 - 1), NA())</f>
        <v/>
      </c>
    </row>
    <row r="479">
      <c r="P479" s="2">
        <f>IF(478&lt;=$I$8, INDEX('Precios Diarios'!$A$2:$A$531, $G$8 - 1 + 478 - 1), NA())</f>
        <v/>
      </c>
      <c r="Q479">
        <f>IF(478&lt;=$I$8, INDEX('Precios Diarios'!$E$2:$E$531, $G$8 - 1 + 478 - 1), NA())</f>
        <v/>
      </c>
      <c r="R479">
        <f>IF(478&lt;=$I$8, INDEX('Precios Diarios'!$F$2:$F$531, $G$8 - 1 + 478 - 1), NA())</f>
        <v/>
      </c>
    </row>
    <row r="480">
      <c r="P480" s="2">
        <f>IF(479&lt;=$I$8, INDEX('Precios Diarios'!$A$2:$A$531, $G$8 - 1 + 479 - 1), NA())</f>
        <v/>
      </c>
      <c r="Q480">
        <f>IF(479&lt;=$I$8, INDEX('Precios Diarios'!$E$2:$E$531, $G$8 - 1 + 479 - 1), NA())</f>
        <v/>
      </c>
      <c r="R480">
        <f>IF(479&lt;=$I$8, INDEX('Precios Diarios'!$F$2:$F$531, $G$8 - 1 + 479 - 1), NA())</f>
        <v/>
      </c>
    </row>
    <row r="481">
      <c r="P481" s="2">
        <f>IF(480&lt;=$I$8, INDEX('Precios Diarios'!$A$2:$A$531, $G$8 - 1 + 480 - 1), NA())</f>
        <v/>
      </c>
      <c r="Q481">
        <f>IF(480&lt;=$I$8, INDEX('Precios Diarios'!$E$2:$E$531, $G$8 - 1 + 480 - 1), NA())</f>
        <v/>
      </c>
      <c r="R481">
        <f>IF(480&lt;=$I$8, INDEX('Precios Diarios'!$F$2:$F$531, $G$8 - 1 + 480 - 1), NA())</f>
        <v/>
      </c>
    </row>
    <row r="482">
      <c r="P482" s="2">
        <f>IF(481&lt;=$I$8, INDEX('Precios Diarios'!$A$2:$A$531, $G$8 - 1 + 481 - 1), NA())</f>
        <v/>
      </c>
      <c r="Q482">
        <f>IF(481&lt;=$I$8, INDEX('Precios Diarios'!$E$2:$E$531, $G$8 - 1 + 481 - 1), NA())</f>
        <v/>
      </c>
      <c r="R482">
        <f>IF(481&lt;=$I$8, INDEX('Precios Diarios'!$F$2:$F$531, $G$8 - 1 + 481 - 1), NA())</f>
        <v/>
      </c>
    </row>
    <row r="483">
      <c r="P483" s="2">
        <f>IF(482&lt;=$I$8, INDEX('Precios Diarios'!$A$2:$A$531, $G$8 - 1 + 482 - 1), NA())</f>
        <v/>
      </c>
      <c r="Q483">
        <f>IF(482&lt;=$I$8, INDEX('Precios Diarios'!$E$2:$E$531, $G$8 - 1 + 482 - 1), NA())</f>
        <v/>
      </c>
      <c r="R483">
        <f>IF(482&lt;=$I$8, INDEX('Precios Diarios'!$F$2:$F$531, $G$8 - 1 + 482 - 1), NA())</f>
        <v/>
      </c>
    </row>
    <row r="484">
      <c r="P484" s="2">
        <f>IF(483&lt;=$I$8, INDEX('Precios Diarios'!$A$2:$A$531, $G$8 - 1 + 483 - 1), NA())</f>
        <v/>
      </c>
      <c r="Q484">
        <f>IF(483&lt;=$I$8, INDEX('Precios Diarios'!$E$2:$E$531, $G$8 - 1 + 483 - 1), NA())</f>
        <v/>
      </c>
      <c r="R484">
        <f>IF(483&lt;=$I$8, INDEX('Precios Diarios'!$F$2:$F$531, $G$8 - 1 + 483 - 1), NA())</f>
        <v/>
      </c>
    </row>
    <row r="485">
      <c r="P485" s="2">
        <f>IF(484&lt;=$I$8, INDEX('Precios Diarios'!$A$2:$A$531, $G$8 - 1 + 484 - 1), NA())</f>
        <v/>
      </c>
      <c r="Q485">
        <f>IF(484&lt;=$I$8, INDEX('Precios Diarios'!$E$2:$E$531, $G$8 - 1 + 484 - 1), NA())</f>
        <v/>
      </c>
      <c r="R485">
        <f>IF(484&lt;=$I$8, INDEX('Precios Diarios'!$F$2:$F$531, $G$8 - 1 + 484 - 1), NA())</f>
        <v/>
      </c>
    </row>
    <row r="486">
      <c r="P486" s="2">
        <f>IF(485&lt;=$I$8, INDEX('Precios Diarios'!$A$2:$A$531, $G$8 - 1 + 485 - 1), NA())</f>
        <v/>
      </c>
      <c r="Q486">
        <f>IF(485&lt;=$I$8, INDEX('Precios Diarios'!$E$2:$E$531, $G$8 - 1 + 485 - 1), NA())</f>
        <v/>
      </c>
      <c r="R486">
        <f>IF(485&lt;=$I$8, INDEX('Precios Diarios'!$F$2:$F$531, $G$8 - 1 + 485 - 1), NA())</f>
        <v/>
      </c>
    </row>
    <row r="487">
      <c r="P487" s="2">
        <f>IF(486&lt;=$I$8, INDEX('Precios Diarios'!$A$2:$A$531, $G$8 - 1 + 486 - 1), NA())</f>
        <v/>
      </c>
      <c r="Q487">
        <f>IF(486&lt;=$I$8, INDEX('Precios Diarios'!$E$2:$E$531, $G$8 - 1 + 486 - 1), NA())</f>
        <v/>
      </c>
      <c r="R487">
        <f>IF(486&lt;=$I$8, INDEX('Precios Diarios'!$F$2:$F$531, $G$8 - 1 + 486 - 1), NA())</f>
        <v/>
      </c>
    </row>
    <row r="488">
      <c r="P488" s="2">
        <f>IF(487&lt;=$I$8, INDEX('Precios Diarios'!$A$2:$A$531, $G$8 - 1 + 487 - 1), NA())</f>
        <v/>
      </c>
      <c r="Q488">
        <f>IF(487&lt;=$I$8, INDEX('Precios Diarios'!$E$2:$E$531, $G$8 - 1 + 487 - 1), NA())</f>
        <v/>
      </c>
      <c r="R488">
        <f>IF(487&lt;=$I$8, INDEX('Precios Diarios'!$F$2:$F$531, $G$8 - 1 + 487 - 1), NA())</f>
        <v/>
      </c>
    </row>
    <row r="489">
      <c r="P489" s="2">
        <f>IF(488&lt;=$I$8, INDEX('Precios Diarios'!$A$2:$A$531, $G$8 - 1 + 488 - 1), NA())</f>
        <v/>
      </c>
      <c r="Q489">
        <f>IF(488&lt;=$I$8, INDEX('Precios Diarios'!$E$2:$E$531, $G$8 - 1 + 488 - 1), NA())</f>
        <v/>
      </c>
      <c r="R489">
        <f>IF(488&lt;=$I$8, INDEX('Precios Diarios'!$F$2:$F$531, $G$8 - 1 + 488 - 1), NA())</f>
        <v/>
      </c>
    </row>
    <row r="490">
      <c r="P490" s="2">
        <f>IF(489&lt;=$I$8, INDEX('Precios Diarios'!$A$2:$A$531, $G$8 - 1 + 489 - 1), NA())</f>
        <v/>
      </c>
      <c r="Q490">
        <f>IF(489&lt;=$I$8, INDEX('Precios Diarios'!$E$2:$E$531, $G$8 - 1 + 489 - 1), NA())</f>
        <v/>
      </c>
      <c r="R490">
        <f>IF(489&lt;=$I$8, INDEX('Precios Diarios'!$F$2:$F$531, $G$8 - 1 + 489 - 1), NA())</f>
        <v/>
      </c>
    </row>
    <row r="491">
      <c r="P491" s="2">
        <f>IF(490&lt;=$I$8, INDEX('Precios Diarios'!$A$2:$A$531, $G$8 - 1 + 490 - 1), NA())</f>
        <v/>
      </c>
      <c r="Q491">
        <f>IF(490&lt;=$I$8, INDEX('Precios Diarios'!$E$2:$E$531, $G$8 - 1 + 490 - 1), NA())</f>
        <v/>
      </c>
      <c r="R491">
        <f>IF(490&lt;=$I$8, INDEX('Precios Diarios'!$F$2:$F$531, $G$8 - 1 + 490 - 1), NA())</f>
        <v/>
      </c>
    </row>
    <row r="492">
      <c r="P492" s="2">
        <f>IF(491&lt;=$I$8, INDEX('Precios Diarios'!$A$2:$A$531, $G$8 - 1 + 491 - 1), NA())</f>
        <v/>
      </c>
      <c r="Q492">
        <f>IF(491&lt;=$I$8, INDEX('Precios Diarios'!$E$2:$E$531, $G$8 - 1 + 491 - 1), NA())</f>
        <v/>
      </c>
      <c r="R492">
        <f>IF(491&lt;=$I$8, INDEX('Precios Diarios'!$F$2:$F$531, $G$8 - 1 + 491 - 1), NA())</f>
        <v/>
      </c>
    </row>
    <row r="493">
      <c r="P493" s="2">
        <f>IF(492&lt;=$I$8, INDEX('Precios Diarios'!$A$2:$A$531, $G$8 - 1 + 492 - 1), NA())</f>
        <v/>
      </c>
      <c r="Q493">
        <f>IF(492&lt;=$I$8, INDEX('Precios Diarios'!$E$2:$E$531, $G$8 - 1 + 492 - 1), NA())</f>
        <v/>
      </c>
      <c r="R493">
        <f>IF(492&lt;=$I$8, INDEX('Precios Diarios'!$F$2:$F$531, $G$8 - 1 + 492 - 1), NA())</f>
        <v/>
      </c>
    </row>
    <row r="494">
      <c r="P494" s="2">
        <f>IF(493&lt;=$I$8, INDEX('Precios Diarios'!$A$2:$A$531, $G$8 - 1 + 493 - 1), NA())</f>
        <v/>
      </c>
      <c r="Q494">
        <f>IF(493&lt;=$I$8, INDEX('Precios Diarios'!$E$2:$E$531, $G$8 - 1 + 493 - 1), NA())</f>
        <v/>
      </c>
      <c r="R494">
        <f>IF(493&lt;=$I$8, INDEX('Precios Diarios'!$F$2:$F$531, $G$8 - 1 + 493 - 1), NA())</f>
        <v/>
      </c>
    </row>
    <row r="495">
      <c r="P495" s="2">
        <f>IF(494&lt;=$I$8, INDEX('Precios Diarios'!$A$2:$A$531, $G$8 - 1 + 494 - 1), NA())</f>
        <v/>
      </c>
      <c r="Q495">
        <f>IF(494&lt;=$I$8, INDEX('Precios Diarios'!$E$2:$E$531, $G$8 - 1 + 494 - 1), NA())</f>
        <v/>
      </c>
      <c r="R495">
        <f>IF(494&lt;=$I$8, INDEX('Precios Diarios'!$F$2:$F$531, $G$8 - 1 + 494 - 1), NA())</f>
        <v/>
      </c>
    </row>
    <row r="496">
      <c r="P496" s="2">
        <f>IF(495&lt;=$I$8, INDEX('Precios Diarios'!$A$2:$A$531, $G$8 - 1 + 495 - 1), NA())</f>
        <v/>
      </c>
      <c r="Q496">
        <f>IF(495&lt;=$I$8, INDEX('Precios Diarios'!$E$2:$E$531, $G$8 - 1 + 495 - 1), NA())</f>
        <v/>
      </c>
      <c r="R496">
        <f>IF(495&lt;=$I$8, INDEX('Precios Diarios'!$F$2:$F$531, $G$8 - 1 + 495 - 1), NA())</f>
        <v/>
      </c>
    </row>
    <row r="497">
      <c r="P497" s="2">
        <f>IF(496&lt;=$I$8, INDEX('Precios Diarios'!$A$2:$A$531, $G$8 - 1 + 496 - 1), NA())</f>
        <v/>
      </c>
      <c r="Q497">
        <f>IF(496&lt;=$I$8, INDEX('Precios Diarios'!$E$2:$E$531, $G$8 - 1 + 496 - 1), NA())</f>
        <v/>
      </c>
      <c r="R497">
        <f>IF(496&lt;=$I$8, INDEX('Precios Diarios'!$F$2:$F$531, $G$8 - 1 + 496 - 1), NA())</f>
        <v/>
      </c>
    </row>
    <row r="498">
      <c r="P498" s="2">
        <f>IF(497&lt;=$I$8, INDEX('Precios Diarios'!$A$2:$A$531, $G$8 - 1 + 497 - 1), NA())</f>
        <v/>
      </c>
      <c r="Q498">
        <f>IF(497&lt;=$I$8, INDEX('Precios Diarios'!$E$2:$E$531, $G$8 - 1 + 497 - 1), NA())</f>
        <v/>
      </c>
      <c r="R498">
        <f>IF(497&lt;=$I$8, INDEX('Precios Diarios'!$F$2:$F$531, $G$8 - 1 + 497 - 1), NA())</f>
        <v/>
      </c>
    </row>
    <row r="499">
      <c r="P499" s="2">
        <f>IF(498&lt;=$I$8, INDEX('Precios Diarios'!$A$2:$A$531, $G$8 - 1 + 498 - 1), NA())</f>
        <v/>
      </c>
      <c r="Q499">
        <f>IF(498&lt;=$I$8, INDEX('Precios Diarios'!$E$2:$E$531, $G$8 - 1 + 498 - 1), NA())</f>
        <v/>
      </c>
      <c r="R499">
        <f>IF(498&lt;=$I$8, INDEX('Precios Diarios'!$F$2:$F$531, $G$8 - 1 + 498 - 1), NA())</f>
        <v/>
      </c>
    </row>
    <row r="500">
      <c r="P500" s="2">
        <f>IF(499&lt;=$I$8, INDEX('Precios Diarios'!$A$2:$A$531, $G$8 - 1 + 499 - 1), NA())</f>
        <v/>
      </c>
      <c r="Q500">
        <f>IF(499&lt;=$I$8, INDEX('Precios Diarios'!$E$2:$E$531, $G$8 - 1 + 499 - 1), NA())</f>
        <v/>
      </c>
      <c r="R500">
        <f>IF(499&lt;=$I$8, INDEX('Precios Diarios'!$F$2:$F$531, $G$8 - 1 + 499 - 1), NA())</f>
        <v/>
      </c>
    </row>
    <row r="501">
      <c r="P501" s="2">
        <f>IF(500&lt;=$I$8, INDEX('Precios Diarios'!$A$2:$A$531, $G$8 - 1 + 500 - 1), NA())</f>
        <v/>
      </c>
      <c r="Q501">
        <f>IF(500&lt;=$I$8, INDEX('Precios Diarios'!$E$2:$E$531, $G$8 - 1 + 500 - 1), NA())</f>
        <v/>
      </c>
      <c r="R501">
        <f>IF(500&lt;=$I$8, INDEX('Precios Diarios'!$F$2:$F$531, $G$8 - 1 + 500 - 1), NA())</f>
        <v/>
      </c>
    </row>
    <row r="502">
      <c r="P502" s="2">
        <f>IF(501&lt;=$I$8, INDEX('Precios Diarios'!$A$2:$A$531, $G$8 - 1 + 501 - 1), NA())</f>
        <v/>
      </c>
      <c r="Q502">
        <f>IF(501&lt;=$I$8, INDEX('Precios Diarios'!$E$2:$E$531, $G$8 - 1 + 501 - 1), NA())</f>
        <v/>
      </c>
      <c r="R502">
        <f>IF(501&lt;=$I$8, INDEX('Precios Diarios'!$F$2:$F$531, $G$8 - 1 + 501 - 1), NA())</f>
        <v/>
      </c>
    </row>
    <row r="503">
      <c r="P503" s="2">
        <f>IF(502&lt;=$I$8, INDEX('Precios Diarios'!$A$2:$A$531, $G$8 - 1 + 502 - 1), NA())</f>
        <v/>
      </c>
      <c r="Q503">
        <f>IF(502&lt;=$I$8, INDEX('Precios Diarios'!$E$2:$E$531, $G$8 - 1 + 502 - 1), NA())</f>
        <v/>
      </c>
      <c r="R503">
        <f>IF(502&lt;=$I$8, INDEX('Precios Diarios'!$F$2:$F$531, $G$8 - 1 + 502 - 1), NA())</f>
        <v/>
      </c>
    </row>
    <row r="504">
      <c r="P504" s="2">
        <f>IF(503&lt;=$I$8, INDEX('Precios Diarios'!$A$2:$A$531, $G$8 - 1 + 503 - 1), NA())</f>
        <v/>
      </c>
      <c r="Q504">
        <f>IF(503&lt;=$I$8, INDEX('Precios Diarios'!$E$2:$E$531, $G$8 - 1 + 503 - 1), NA())</f>
        <v/>
      </c>
      <c r="R504">
        <f>IF(503&lt;=$I$8, INDEX('Precios Diarios'!$F$2:$F$531, $G$8 - 1 + 503 - 1), NA())</f>
        <v/>
      </c>
    </row>
    <row r="505">
      <c r="P505" s="2">
        <f>IF(504&lt;=$I$8, INDEX('Precios Diarios'!$A$2:$A$531, $G$8 - 1 + 504 - 1), NA())</f>
        <v/>
      </c>
      <c r="Q505">
        <f>IF(504&lt;=$I$8, INDEX('Precios Diarios'!$E$2:$E$531, $G$8 - 1 + 504 - 1), NA())</f>
        <v/>
      </c>
      <c r="R505">
        <f>IF(504&lt;=$I$8, INDEX('Precios Diarios'!$F$2:$F$531, $G$8 - 1 + 504 - 1), NA())</f>
        <v/>
      </c>
    </row>
    <row r="506">
      <c r="P506" s="2">
        <f>IF(505&lt;=$I$8, INDEX('Precios Diarios'!$A$2:$A$531, $G$8 - 1 + 505 - 1), NA())</f>
        <v/>
      </c>
      <c r="Q506">
        <f>IF(505&lt;=$I$8, INDEX('Precios Diarios'!$E$2:$E$531, $G$8 - 1 + 505 - 1), NA())</f>
        <v/>
      </c>
      <c r="R506">
        <f>IF(505&lt;=$I$8, INDEX('Precios Diarios'!$F$2:$F$531, $G$8 - 1 + 505 - 1), NA())</f>
        <v/>
      </c>
    </row>
    <row r="507">
      <c r="P507" s="2">
        <f>IF(506&lt;=$I$8, INDEX('Precios Diarios'!$A$2:$A$531, $G$8 - 1 + 506 - 1), NA())</f>
        <v/>
      </c>
      <c r="Q507">
        <f>IF(506&lt;=$I$8, INDEX('Precios Diarios'!$E$2:$E$531, $G$8 - 1 + 506 - 1), NA())</f>
        <v/>
      </c>
      <c r="R507">
        <f>IF(506&lt;=$I$8, INDEX('Precios Diarios'!$F$2:$F$531, $G$8 - 1 + 506 - 1), NA())</f>
        <v/>
      </c>
    </row>
    <row r="508">
      <c r="P508" s="2">
        <f>IF(507&lt;=$I$8, INDEX('Precios Diarios'!$A$2:$A$531, $G$8 - 1 + 507 - 1), NA())</f>
        <v/>
      </c>
      <c r="Q508">
        <f>IF(507&lt;=$I$8, INDEX('Precios Diarios'!$E$2:$E$531, $G$8 - 1 + 507 - 1), NA())</f>
        <v/>
      </c>
      <c r="R508">
        <f>IF(507&lt;=$I$8, INDEX('Precios Diarios'!$F$2:$F$531, $G$8 - 1 + 507 - 1), NA())</f>
        <v/>
      </c>
    </row>
    <row r="509">
      <c r="P509" s="2">
        <f>IF(508&lt;=$I$8, INDEX('Precios Diarios'!$A$2:$A$531, $G$8 - 1 + 508 - 1), NA())</f>
        <v/>
      </c>
      <c r="Q509">
        <f>IF(508&lt;=$I$8, INDEX('Precios Diarios'!$E$2:$E$531, $G$8 - 1 + 508 - 1), NA())</f>
        <v/>
      </c>
      <c r="R509">
        <f>IF(508&lt;=$I$8, INDEX('Precios Diarios'!$F$2:$F$531, $G$8 - 1 + 508 - 1), NA())</f>
        <v/>
      </c>
    </row>
    <row r="510">
      <c r="P510" s="2">
        <f>IF(509&lt;=$I$8, INDEX('Precios Diarios'!$A$2:$A$531, $G$8 - 1 + 509 - 1), NA())</f>
        <v/>
      </c>
      <c r="Q510">
        <f>IF(509&lt;=$I$8, INDEX('Precios Diarios'!$E$2:$E$531, $G$8 - 1 + 509 - 1), NA())</f>
        <v/>
      </c>
      <c r="R510">
        <f>IF(509&lt;=$I$8, INDEX('Precios Diarios'!$F$2:$F$531, $G$8 - 1 + 509 - 1), NA())</f>
        <v/>
      </c>
    </row>
    <row r="511">
      <c r="P511" s="2">
        <f>IF(510&lt;=$I$8, INDEX('Precios Diarios'!$A$2:$A$531, $G$8 - 1 + 510 - 1), NA())</f>
        <v/>
      </c>
      <c r="Q511">
        <f>IF(510&lt;=$I$8, INDEX('Precios Diarios'!$E$2:$E$531, $G$8 - 1 + 510 - 1), NA())</f>
        <v/>
      </c>
      <c r="R511">
        <f>IF(510&lt;=$I$8, INDEX('Precios Diarios'!$F$2:$F$531, $G$8 - 1 + 510 - 1), NA())</f>
        <v/>
      </c>
    </row>
    <row r="512">
      <c r="P512" s="2">
        <f>IF(511&lt;=$I$8, INDEX('Precios Diarios'!$A$2:$A$531, $G$8 - 1 + 511 - 1), NA())</f>
        <v/>
      </c>
      <c r="Q512">
        <f>IF(511&lt;=$I$8, INDEX('Precios Diarios'!$E$2:$E$531, $G$8 - 1 + 511 - 1), NA())</f>
        <v/>
      </c>
      <c r="R512">
        <f>IF(511&lt;=$I$8, INDEX('Precios Diarios'!$F$2:$F$531, $G$8 - 1 + 511 - 1), NA())</f>
        <v/>
      </c>
    </row>
    <row r="513">
      <c r="P513" s="2">
        <f>IF(512&lt;=$I$8, INDEX('Precios Diarios'!$A$2:$A$531, $G$8 - 1 + 512 - 1), NA())</f>
        <v/>
      </c>
      <c r="Q513">
        <f>IF(512&lt;=$I$8, INDEX('Precios Diarios'!$E$2:$E$531, $G$8 - 1 + 512 - 1), NA())</f>
        <v/>
      </c>
      <c r="R513">
        <f>IF(512&lt;=$I$8, INDEX('Precios Diarios'!$F$2:$F$531, $G$8 - 1 + 512 - 1), NA())</f>
        <v/>
      </c>
    </row>
    <row r="514">
      <c r="P514" s="2">
        <f>IF(513&lt;=$I$8, INDEX('Precios Diarios'!$A$2:$A$531, $G$8 - 1 + 513 - 1), NA())</f>
        <v/>
      </c>
      <c r="Q514">
        <f>IF(513&lt;=$I$8, INDEX('Precios Diarios'!$E$2:$E$531, $G$8 - 1 + 513 - 1), NA())</f>
        <v/>
      </c>
      <c r="R514">
        <f>IF(513&lt;=$I$8, INDEX('Precios Diarios'!$F$2:$F$531, $G$8 - 1 + 513 - 1), NA())</f>
        <v/>
      </c>
    </row>
    <row r="515">
      <c r="P515" s="2">
        <f>IF(514&lt;=$I$8, INDEX('Precios Diarios'!$A$2:$A$531, $G$8 - 1 + 514 - 1), NA())</f>
        <v/>
      </c>
      <c r="Q515">
        <f>IF(514&lt;=$I$8, INDEX('Precios Diarios'!$E$2:$E$531, $G$8 - 1 + 514 - 1), NA())</f>
        <v/>
      </c>
      <c r="R515">
        <f>IF(514&lt;=$I$8, INDEX('Precios Diarios'!$F$2:$F$531, $G$8 - 1 + 514 - 1), NA())</f>
        <v/>
      </c>
    </row>
    <row r="516">
      <c r="P516" s="2">
        <f>IF(515&lt;=$I$8, INDEX('Precios Diarios'!$A$2:$A$531, $G$8 - 1 + 515 - 1), NA())</f>
        <v/>
      </c>
      <c r="Q516">
        <f>IF(515&lt;=$I$8, INDEX('Precios Diarios'!$E$2:$E$531, $G$8 - 1 + 515 - 1), NA())</f>
        <v/>
      </c>
      <c r="R516">
        <f>IF(515&lt;=$I$8, INDEX('Precios Diarios'!$F$2:$F$531, $G$8 - 1 + 515 - 1), NA())</f>
        <v/>
      </c>
    </row>
    <row r="517">
      <c r="P517" s="2">
        <f>IF(516&lt;=$I$8, INDEX('Precios Diarios'!$A$2:$A$531, $G$8 - 1 + 516 - 1), NA())</f>
        <v/>
      </c>
      <c r="Q517">
        <f>IF(516&lt;=$I$8, INDEX('Precios Diarios'!$E$2:$E$531, $G$8 - 1 + 516 - 1), NA())</f>
        <v/>
      </c>
      <c r="R517">
        <f>IF(516&lt;=$I$8, INDEX('Precios Diarios'!$F$2:$F$531, $G$8 - 1 + 516 - 1), NA())</f>
        <v/>
      </c>
    </row>
    <row r="518">
      <c r="P518" s="2">
        <f>IF(517&lt;=$I$8, INDEX('Precios Diarios'!$A$2:$A$531, $G$8 - 1 + 517 - 1), NA())</f>
        <v/>
      </c>
      <c r="Q518">
        <f>IF(517&lt;=$I$8, INDEX('Precios Diarios'!$E$2:$E$531, $G$8 - 1 + 517 - 1), NA())</f>
        <v/>
      </c>
      <c r="R518">
        <f>IF(517&lt;=$I$8, INDEX('Precios Diarios'!$F$2:$F$531, $G$8 - 1 + 517 - 1), NA())</f>
        <v/>
      </c>
    </row>
    <row r="519">
      <c r="P519" s="2">
        <f>IF(518&lt;=$I$8, INDEX('Precios Diarios'!$A$2:$A$531, $G$8 - 1 + 518 - 1), NA())</f>
        <v/>
      </c>
      <c r="Q519">
        <f>IF(518&lt;=$I$8, INDEX('Precios Diarios'!$E$2:$E$531, $G$8 - 1 + 518 - 1), NA())</f>
        <v/>
      </c>
      <c r="R519">
        <f>IF(518&lt;=$I$8, INDEX('Precios Diarios'!$F$2:$F$531, $G$8 - 1 + 518 - 1), NA())</f>
        <v/>
      </c>
    </row>
    <row r="520">
      <c r="P520" s="2">
        <f>IF(519&lt;=$I$8, INDEX('Precios Diarios'!$A$2:$A$531, $G$8 - 1 + 519 - 1), NA())</f>
        <v/>
      </c>
      <c r="Q520">
        <f>IF(519&lt;=$I$8, INDEX('Precios Diarios'!$E$2:$E$531, $G$8 - 1 + 519 - 1), NA())</f>
        <v/>
      </c>
      <c r="R520">
        <f>IF(519&lt;=$I$8, INDEX('Precios Diarios'!$F$2:$F$531, $G$8 - 1 + 519 - 1), NA())</f>
        <v/>
      </c>
    </row>
    <row r="521">
      <c r="P521" s="2">
        <f>IF(520&lt;=$I$8, INDEX('Precios Diarios'!$A$2:$A$531, $G$8 - 1 + 520 - 1), NA())</f>
        <v/>
      </c>
      <c r="Q521">
        <f>IF(520&lt;=$I$8, INDEX('Precios Diarios'!$E$2:$E$531, $G$8 - 1 + 520 - 1), NA())</f>
        <v/>
      </c>
      <c r="R521">
        <f>IF(520&lt;=$I$8, INDEX('Precios Diarios'!$F$2:$F$531, $G$8 - 1 + 520 - 1), NA())</f>
        <v/>
      </c>
    </row>
    <row r="522">
      <c r="P522" s="2">
        <f>IF(521&lt;=$I$8, INDEX('Precios Diarios'!$A$2:$A$531, $G$8 - 1 + 521 - 1), NA())</f>
        <v/>
      </c>
      <c r="Q522">
        <f>IF(521&lt;=$I$8, INDEX('Precios Diarios'!$E$2:$E$531, $G$8 - 1 + 521 - 1), NA())</f>
        <v/>
      </c>
      <c r="R522">
        <f>IF(521&lt;=$I$8, INDEX('Precios Diarios'!$F$2:$F$531, $G$8 - 1 + 521 - 1), NA())</f>
        <v/>
      </c>
    </row>
    <row r="523">
      <c r="P523" s="2">
        <f>IF(522&lt;=$I$8, INDEX('Precios Diarios'!$A$2:$A$531, $G$8 - 1 + 522 - 1), NA())</f>
        <v/>
      </c>
      <c r="Q523">
        <f>IF(522&lt;=$I$8, INDEX('Precios Diarios'!$E$2:$E$531, $G$8 - 1 + 522 - 1), NA())</f>
        <v/>
      </c>
      <c r="R523">
        <f>IF(522&lt;=$I$8, INDEX('Precios Diarios'!$F$2:$F$531, $G$8 - 1 + 522 - 1), NA())</f>
        <v/>
      </c>
    </row>
    <row r="524">
      <c r="P524" s="2">
        <f>IF(523&lt;=$I$8, INDEX('Precios Diarios'!$A$2:$A$531, $G$8 - 1 + 523 - 1), NA())</f>
        <v/>
      </c>
      <c r="Q524">
        <f>IF(523&lt;=$I$8, INDEX('Precios Diarios'!$E$2:$E$531, $G$8 - 1 + 523 - 1), NA())</f>
        <v/>
      </c>
      <c r="R524">
        <f>IF(523&lt;=$I$8, INDEX('Precios Diarios'!$F$2:$F$531, $G$8 - 1 + 523 - 1), NA())</f>
        <v/>
      </c>
    </row>
    <row r="525">
      <c r="P525" s="2">
        <f>IF(524&lt;=$I$8, INDEX('Precios Diarios'!$A$2:$A$531, $G$8 - 1 + 524 - 1), NA())</f>
        <v/>
      </c>
      <c r="Q525">
        <f>IF(524&lt;=$I$8, INDEX('Precios Diarios'!$E$2:$E$531, $G$8 - 1 + 524 - 1), NA())</f>
        <v/>
      </c>
      <c r="R525">
        <f>IF(524&lt;=$I$8, INDEX('Precios Diarios'!$F$2:$F$531, $G$8 - 1 + 524 - 1), NA())</f>
        <v/>
      </c>
    </row>
    <row r="526">
      <c r="P526" s="2">
        <f>IF(525&lt;=$I$8, INDEX('Precios Diarios'!$A$2:$A$531, $G$8 - 1 + 525 - 1), NA())</f>
        <v/>
      </c>
      <c r="Q526">
        <f>IF(525&lt;=$I$8, INDEX('Precios Diarios'!$E$2:$E$531, $G$8 - 1 + 525 - 1), NA())</f>
        <v/>
      </c>
      <c r="R526">
        <f>IF(525&lt;=$I$8, INDEX('Precios Diarios'!$F$2:$F$531, $G$8 - 1 + 525 - 1), NA())</f>
        <v/>
      </c>
    </row>
    <row r="527">
      <c r="P527" s="2">
        <f>IF(526&lt;=$I$8, INDEX('Precios Diarios'!$A$2:$A$531, $G$8 - 1 + 526 - 1), NA())</f>
        <v/>
      </c>
      <c r="Q527">
        <f>IF(526&lt;=$I$8, INDEX('Precios Diarios'!$E$2:$E$531, $G$8 - 1 + 526 - 1), NA())</f>
        <v/>
      </c>
      <c r="R527">
        <f>IF(526&lt;=$I$8, INDEX('Precios Diarios'!$F$2:$F$531, $G$8 - 1 + 526 - 1), NA())</f>
        <v/>
      </c>
    </row>
    <row r="528">
      <c r="P528" s="2">
        <f>IF(527&lt;=$I$8, INDEX('Precios Diarios'!$A$2:$A$531, $G$8 - 1 + 527 - 1), NA())</f>
        <v/>
      </c>
      <c r="Q528">
        <f>IF(527&lt;=$I$8, INDEX('Precios Diarios'!$E$2:$E$531, $G$8 - 1 + 527 - 1), NA())</f>
        <v/>
      </c>
      <c r="R528">
        <f>IF(527&lt;=$I$8, INDEX('Precios Diarios'!$F$2:$F$531, $G$8 - 1 + 527 - 1), NA())</f>
        <v/>
      </c>
    </row>
    <row r="529">
      <c r="P529" s="2">
        <f>IF(528&lt;=$I$8, INDEX('Precios Diarios'!$A$2:$A$531, $G$8 - 1 + 528 - 1), NA())</f>
        <v/>
      </c>
      <c r="Q529">
        <f>IF(528&lt;=$I$8, INDEX('Precios Diarios'!$E$2:$E$531, $G$8 - 1 + 528 - 1), NA())</f>
        <v/>
      </c>
      <c r="R529">
        <f>IF(528&lt;=$I$8, INDEX('Precios Diarios'!$F$2:$F$531, $G$8 - 1 + 528 - 1), NA())</f>
        <v/>
      </c>
    </row>
    <row r="530">
      <c r="P530" s="2">
        <f>IF(529&lt;=$I$8, INDEX('Precios Diarios'!$A$2:$A$531, $G$8 - 1 + 529 - 1), NA())</f>
        <v/>
      </c>
      <c r="Q530">
        <f>IF(529&lt;=$I$8, INDEX('Precios Diarios'!$E$2:$E$531, $G$8 - 1 + 529 - 1), NA())</f>
        <v/>
      </c>
      <c r="R530">
        <f>IF(529&lt;=$I$8, INDEX('Precios Diarios'!$F$2:$F$531, $G$8 - 1 + 529 - 1), NA())</f>
        <v/>
      </c>
    </row>
    <row r="531">
      <c r="P531" s="2">
        <f>IF(530&lt;=$I$8, INDEX('Precios Diarios'!$A$2:$A$531, $G$8 - 1 + 530 - 1), NA())</f>
        <v/>
      </c>
      <c r="Q531">
        <f>IF(530&lt;=$I$8, INDEX('Precios Diarios'!$E$2:$E$531, $G$8 - 1 + 530 - 1), NA())</f>
        <v/>
      </c>
      <c r="R531">
        <f>IF(530&lt;=$I$8, INDEX('Precios Diarios'!$F$2:$F$531, $G$8 - 1 + 530 - 1), NA())</f>
        <v/>
      </c>
    </row>
  </sheetData>
  <mergeCells count="13">
    <mergeCell ref="A8:D8"/>
    <mergeCell ref="A7:D7"/>
    <mergeCell ref="D3:F3"/>
    <mergeCell ref="A3:C3"/>
    <mergeCell ref="A4:C5"/>
    <mergeCell ref="G3:I3"/>
    <mergeCell ref="D4:F5"/>
    <mergeCell ref="G4:I5"/>
    <mergeCell ref="M3:N3"/>
    <mergeCell ref="J3:L3"/>
    <mergeCell ref="J4:L5"/>
    <mergeCell ref="M4:N5"/>
    <mergeCell ref="A1:N1"/>
  </mergeCells>
  <dataValidations count="1">
    <dataValidation sqref="A8" showDropDown="0" showInputMessage="0" showErrorMessage="0" allowBlank="0" type="list">
      <formula1>"Todo el Historial (Desde 2025),Año 2025,Año 2026,Últimos 90 Días,Últimos 30 Días"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26" customHeight="1">
      <c r="A1" s="13" t="inlineStr">
        <is>
          <t>Fecha</t>
        </is>
      </c>
      <c r="B1" s="13" t="inlineStr">
        <is>
          <t>Oro (USD/oz)</t>
        </is>
      </c>
      <c r="C1" s="13" t="inlineStr">
        <is>
          <t>Plata (USD/oz)</t>
        </is>
      </c>
      <c r="D1" s="13" t="inlineStr">
        <is>
          <t>TRM (USD/COP)</t>
        </is>
      </c>
      <c r="E1" s="13" t="inlineStr">
        <is>
          <t>Oro (COP/g)</t>
        </is>
      </c>
      <c r="F1" s="13" t="inlineStr">
        <is>
          <t>Plata (COP/g)</t>
        </is>
      </c>
      <c r="G1" s="13" t="inlineStr">
        <is>
          <t>Var. Oro %</t>
        </is>
      </c>
      <c r="H1" s="13" t="inlineStr">
        <is>
          <t>Var. Plata %</t>
        </is>
      </c>
    </row>
    <row r="2" ht="20" customHeight="1">
      <c r="A2" s="14" t="n">
        <v>45659</v>
      </c>
      <c r="B2" s="15" t="n">
        <v>2669</v>
      </c>
      <c r="C2" s="15" t="n">
        <v>29.62199974060059</v>
      </c>
      <c r="D2" s="15" t="n">
        <v>4403.169921875</v>
      </c>
      <c r="E2" s="16">
        <f>ROUND((B2/31.1034768)*D2, 2)</f>
        <v/>
      </c>
      <c r="F2" s="16">
        <f>ROUND((C2/31.1034768)*D2, 2)</f>
        <v/>
      </c>
      <c r="G2" s="17" t="n">
        <v>0</v>
      </c>
      <c r="H2" s="17" t="n">
        <v>0</v>
      </c>
    </row>
    <row r="3" ht="20" customHeight="1">
      <c r="A3" s="18" t="n">
        <v>45660</v>
      </c>
      <c r="B3" s="19" t="n">
        <v>2654.699951171875</v>
      </c>
      <c r="C3" s="19" t="n">
        <v>29.80599975585938</v>
      </c>
      <c r="D3" s="19" t="n">
        <v>4382.35009765625</v>
      </c>
      <c r="E3" s="20">
        <f>ROUND((B3/31.1034768)*D3, 2)</f>
        <v/>
      </c>
      <c r="F3" s="20">
        <f>ROUND((C3/31.1034768)*D3, 2)</f>
        <v/>
      </c>
      <c r="G3" s="21">
        <f>IFERROR((E3-E2)/E2, 0)</f>
        <v/>
      </c>
      <c r="H3" s="21">
        <f>IFERROR((F3-F2)/F2, 0)</f>
        <v/>
      </c>
    </row>
    <row r="4" ht="20" customHeight="1">
      <c r="A4" s="14" t="n">
        <v>45663</v>
      </c>
      <c r="B4" s="15" t="n">
        <v>2647.39990234375</v>
      </c>
      <c r="C4" s="15" t="n">
        <v>30.34199905395508</v>
      </c>
      <c r="D4" s="15" t="n">
        <v>4319.55029296875</v>
      </c>
      <c r="E4" s="16">
        <f>ROUND((B4/31.1034768)*D4, 2)</f>
        <v/>
      </c>
      <c r="F4" s="16">
        <f>ROUND((C4/31.1034768)*D4, 2)</f>
        <v/>
      </c>
      <c r="G4" s="17">
        <f>IFERROR((E4-E3)/E3, 0)</f>
        <v/>
      </c>
      <c r="H4" s="17">
        <f>IFERROR((F4-F3)/F3, 0)</f>
        <v/>
      </c>
    </row>
    <row r="5" ht="20" customHeight="1">
      <c r="A5" s="18" t="n">
        <v>45664</v>
      </c>
      <c r="B5" s="19" t="n">
        <v>2665.39990234375</v>
      </c>
      <c r="C5" s="19" t="n">
        <v>30.44700050354004</v>
      </c>
      <c r="D5" s="19" t="n">
        <v>4338.25</v>
      </c>
      <c r="E5" s="20">
        <f>ROUND((B5/31.1034768)*D5, 2)</f>
        <v/>
      </c>
      <c r="F5" s="20">
        <f>ROUND((C5/31.1034768)*D5, 2)</f>
        <v/>
      </c>
      <c r="G5" s="21">
        <f>IFERROR((E5-E4)/E4, 0)</f>
        <v/>
      </c>
      <c r="H5" s="21">
        <f>IFERROR((F5-F4)/F4, 0)</f>
        <v/>
      </c>
    </row>
    <row r="6" ht="20" customHeight="1">
      <c r="A6" s="14" t="n">
        <v>45665</v>
      </c>
      <c r="B6" s="15" t="n">
        <v>2672.39990234375</v>
      </c>
      <c r="C6" s="15" t="n">
        <v>30.45199966430664</v>
      </c>
      <c r="D6" s="15" t="n">
        <v>4335.580078125</v>
      </c>
      <c r="E6" s="16">
        <f>ROUND((B6/31.1034768)*D6, 2)</f>
        <v/>
      </c>
      <c r="F6" s="16">
        <f>ROUND((C6/31.1034768)*D6, 2)</f>
        <v/>
      </c>
      <c r="G6" s="17">
        <f>IFERROR((E6-E5)/E5, 0)</f>
        <v/>
      </c>
      <c r="H6" s="17">
        <f>IFERROR((F6-F5)/F5, 0)</f>
        <v/>
      </c>
    </row>
    <row r="7" ht="20" customHeight="1">
      <c r="A7" s="18" t="n">
        <v>45666</v>
      </c>
      <c r="B7" s="19" t="n">
        <v>2690.800048828125</v>
      </c>
      <c r="C7" s="19" t="n">
        <v>30.79100036621094</v>
      </c>
      <c r="D7" s="19" t="n">
        <v>4325</v>
      </c>
      <c r="E7" s="20">
        <f>ROUND((B7/31.1034768)*D7, 2)</f>
        <v/>
      </c>
      <c r="F7" s="20">
        <f>ROUND((C7/31.1034768)*D7, 2)</f>
        <v/>
      </c>
      <c r="G7" s="21">
        <f>IFERROR((E7-E6)/E6, 0)</f>
        <v/>
      </c>
      <c r="H7" s="21">
        <f>IFERROR((F7-F6)/F6, 0)</f>
        <v/>
      </c>
    </row>
    <row r="8" ht="20" customHeight="1">
      <c r="A8" s="14" t="n">
        <v>45667</v>
      </c>
      <c r="B8" s="15" t="n">
        <v>2715</v>
      </c>
      <c r="C8" s="15" t="n">
        <v>31.09099960327148</v>
      </c>
      <c r="D8" s="15" t="n">
        <v>4330.39013671875</v>
      </c>
      <c r="E8" s="16">
        <f>ROUND((B8/31.1034768)*D8, 2)</f>
        <v/>
      </c>
      <c r="F8" s="16">
        <f>ROUND((C8/31.1034768)*D8, 2)</f>
        <v/>
      </c>
      <c r="G8" s="17">
        <f>IFERROR((E8-E7)/E7, 0)</f>
        <v/>
      </c>
      <c r="H8" s="17">
        <f>IFERROR((F8-F7)/F7, 0)</f>
        <v/>
      </c>
    </row>
    <row r="9" ht="20" customHeight="1">
      <c r="A9" s="18" t="n">
        <v>45670</v>
      </c>
      <c r="B9" s="19" t="n">
        <v>2678.60009765625</v>
      </c>
      <c r="C9" s="19" t="n">
        <v>30.09099960327148</v>
      </c>
      <c r="D9" s="19" t="n">
        <v>4300.29736328125</v>
      </c>
      <c r="E9" s="20">
        <f>ROUND((B9/31.1034768)*D9, 2)</f>
        <v/>
      </c>
      <c r="F9" s="20">
        <f>ROUND((C9/31.1034768)*D9, 2)</f>
        <v/>
      </c>
      <c r="G9" s="21">
        <f>IFERROR((E9-E8)/E8, 0)</f>
        <v/>
      </c>
      <c r="H9" s="21">
        <f>IFERROR((F9-F8)/F8, 0)</f>
        <v/>
      </c>
    </row>
    <row r="10" ht="20" customHeight="1">
      <c r="A10" s="14" t="n">
        <v>45671</v>
      </c>
      <c r="B10" s="15" t="n">
        <v>2682.300048828125</v>
      </c>
      <c r="C10" s="15" t="n">
        <v>30.13199996948242</v>
      </c>
      <c r="D10" s="15" t="n">
        <v>4304.75</v>
      </c>
      <c r="E10" s="16">
        <f>ROUND((B10/31.1034768)*D10, 2)</f>
        <v/>
      </c>
      <c r="F10" s="16">
        <f>ROUND((C10/31.1034768)*D10, 2)</f>
        <v/>
      </c>
      <c r="G10" s="17">
        <f>IFERROR((E10-E9)/E9, 0)</f>
        <v/>
      </c>
      <c r="H10" s="17">
        <f>IFERROR((F10-F9)/F9, 0)</f>
        <v/>
      </c>
    </row>
    <row r="11" ht="20" customHeight="1">
      <c r="A11" s="18" t="n">
        <v>45672</v>
      </c>
      <c r="B11" s="19" t="n">
        <v>2717.800048828125</v>
      </c>
      <c r="C11" s="19" t="n">
        <v>31.31900024414062</v>
      </c>
      <c r="D11" s="19" t="n">
        <v>4284.7001953125</v>
      </c>
      <c r="E11" s="20">
        <f>ROUND((B11/31.1034768)*D11, 2)</f>
        <v/>
      </c>
      <c r="F11" s="20">
        <f>ROUND((C11/31.1034768)*D11, 2)</f>
        <v/>
      </c>
      <c r="G11" s="21">
        <f>IFERROR((E11-E10)/E10, 0)</f>
        <v/>
      </c>
      <c r="H11" s="21">
        <f>IFERROR((F11-F10)/F10, 0)</f>
        <v/>
      </c>
    </row>
    <row r="12" ht="20" customHeight="1">
      <c r="A12" s="14" t="n">
        <v>45673</v>
      </c>
      <c r="B12" s="15" t="n">
        <v>2750.89990234375</v>
      </c>
      <c r="C12" s="15" t="n">
        <v>31.52300071716309</v>
      </c>
      <c r="D12" s="15" t="n">
        <v>4301.18994140625</v>
      </c>
      <c r="E12" s="16">
        <f>ROUND((B12/31.1034768)*D12, 2)</f>
        <v/>
      </c>
      <c r="F12" s="16">
        <f>ROUND((C12/31.1034768)*D12, 2)</f>
        <v/>
      </c>
      <c r="G12" s="17">
        <f>IFERROR((E12-E11)/E11, 0)</f>
        <v/>
      </c>
      <c r="H12" s="17">
        <f>IFERROR((F12-F11)/F11, 0)</f>
        <v/>
      </c>
    </row>
    <row r="13" ht="20" customHeight="1">
      <c r="A13" s="18" t="n">
        <v>45674</v>
      </c>
      <c r="B13" s="19" t="n">
        <v>2748.699951171875</v>
      </c>
      <c r="C13" s="19" t="n">
        <v>30.95100021362305</v>
      </c>
      <c r="D13" s="19" t="n">
        <v>4340</v>
      </c>
      <c r="E13" s="20">
        <f>ROUND((B13/31.1034768)*D13, 2)</f>
        <v/>
      </c>
      <c r="F13" s="20">
        <f>ROUND((C13/31.1034768)*D13, 2)</f>
        <v/>
      </c>
      <c r="G13" s="21">
        <f>IFERROR((E13-E12)/E12, 0)</f>
        <v/>
      </c>
      <c r="H13" s="21">
        <f>IFERROR((F13-F12)/F12, 0)</f>
        <v/>
      </c>
    </row>
    <row r="14" ht="20" customHeight="1">
      <c r="A14" s="14" t="n">
        <v>45677</v>
      </c>
      <c r="B14" s="15" t="n">
        <v>2748.699951171875</v>
      </c>
      <c r="C14" s="15" t="n">
        <v>30.95100021362305</v>
      </c>
      <c r="D14" s="15" t="n">
        <v>4297.4140625</v>
      </c>
      <c r="E14" s="16">
        <f>ROUND((B14/31.1034768)*D14, 2)</f>
        <v/>
      </c>
      <c r="F14" s="16">
        <f>ROUND((C14/31.1034768)*D14, 2)</f>
        <v/>
      </c>
      <c r="G14" s="17">
        <f>IFERROR((E14-E13)/E13, 0)</f>
        <v/>
      </c>
      <c r="H14" s="17">
        <f>IFERROR((F14-F13)/F13, 0)</f>
        <v/>
      </c>
    </row>
    <row r="15" ht="20" customHeight="1">
      <c r="A15" s="18" t="n">
        <v>45678</v>
      </c>
      <c r="B15" s="19" t="n">
        <v>2759.199951171875</v>
      </c>
      <c r="C15" s="19" t="n">
        <v>31.31100082397461</v>
      </c>
      <c r="D15" s="19" t="n">
        <v>4321.60009765625</v>
      </c>
      <c r="E15" s="20">
        <f>ROUND((B15/31.1034768)*D15, 2)</f>
        <v/>
      </c>
      <c r="F15" s="20">
        <f>ROUND((C15/31.1034768)*D15, 2)</f>
        <v/>
      </c>
      <c r="G15" s="21">
        <f>IFERROR((E15-E14)/E14, 0)</f>
        <v/>
      </c>
      <c r="H15" s="21">
        <f>IFERROR((F15-F14)/F14, 0)</f>
        <v/>
      </c>
    </row>
    <row r="16" ht="20" customHeight="1">
      <c r="A16" s="14" t="n">
        <v>45679</v>
      </c>
      <c r="B16" s="15" t="n">
        <v>2770.89990234375</v>
      </c>
      <c r="C16" s="15" t="n">
        <v>31.23900032043457</v>
      </c>
      <c r="D16" s="15" t="n">
        <v>4308.7001953125</v>
      </c>
      <c r="E16" s="16">
        <f>ROUND((B16/31.1034768)*D16, 2)</f>
        <v/>
      </c>
      <c r="F16" s="16">
        <f>ROUND((C16/31.1034768)*D16, 2)</f>
        <v/>
      </c>
      <c r="G16" s="17">
        <f>IFERROR((E16-E15)/E15, 0)</f>
        <v/>
      </c>
      <c r="H16" s="17">
        <f>IFERROR((F16-F15)/F15, 0)</f>
        <v/>
      </c>
    </row>
    <row r="17" ht="20" customHeight="1">
      <c r="A17" s="18" t="n">
        <v>45680</v>
      </c>
      <c r="B17" s="19" t="n">
        <v>2765</v>
      </c>
      <c r="C17" s="19" t="n">
        <v>30.67300033569336</v>
      </c>
      <c r="D17" s="19" t="n">
        <v>4259.25</v>
      </c>
      <c r="E17" s="20">
        <f>ROUND((B17/31.1034768)*D17, 2)</f>
        <v/>
      </c>
      <c r="F17" s="20">
        <f>ROUND((C17/31.1034768)*D17, 2)</f>
        <v/>
      </c>
      <c r="G17" s="21">
        <f>IFERROR((E17-E16)/E16, 0)</f>
        <v/>
      </c>
      <c r="H17" s="21">
        <f>IFERROR((F17-F16)/F16, 0)</f>
        <v/>
      </c>
    </row>
    <row r="18" ht="20" customHeight="1">
      <c r="A18" s="14" t="n">
        <v>45681</v>
      </c>
      <c r="B18" s="15" t="n">
        <v>2778.89990234375</v>
      </c>
      <c r="C18" s="15" t="n">
        <v>31.02300071716309</v>
      </c>
      <c r="D18" s="15" t="n">
        <v>4224.509765625</v>
      </c>
      <c r="E18" s="16">
        <f>ROUND((B18/31.1034768)*D18, 2)</f>
        <v/>
      </c>
      <c r="F18" s="16">
        <f>ROUND((C18/31.1034768)*D18, 2)</f>
        <v/>
      </c>
      <c r="G18" s="17">
        <f>IFERROR((E18-E17)/E17, 0)</f>
        <v/>
      </c>
      <c r="H18" s="17">
        <f>IFERROR((F18-F17)/F17, 0)</f>
        <v/>
      </c>
    </row>
    <row r="19" ht="20" customHeight="1">
      <c r="A19" s="18" t="n">
        <v>45684</v>
      </c>
      <c r="B19" s="19" t="n">
        <v>2738.39990234375</v>
      </c>
      <c r="C19" s="19" t="n">
        <v>30.25399971008301</v>
      </c>
      <c r="D19" s="19" t="n">
        <v>4175.05126953125</v>
      </c>
      <c r="E19" s="20">
        <f>ROUND((B19/31.1034768)*D19, 2)</f>
        <v/>
      </c>
      <c r="F19" s="20">
        <f>ROUND((C19/31.1034768)*D19, 2)</f>
        <v/>
      </c>
      <c r="G19" s="21">
        <f>IFERROR((E19-E18)/E18, 0)</f>
        <v/>
      </c>
      <c r="H19" s="21">
        <f>IFERROR((F19-F18)/F18, 0)</f>
        <v/>
      </c>
    </row>
    <row r="20" ht="20" customHeight="1">
      <c r="A20" s="14" t="n">
        <v>45685</v>
      </c>
      <c r="B20" s="15" t="n">
        <v>2767.5</v>
      </c>
      <c r="C20" s="15" t="n">
        <v>30.72699928283691</v>
      </c>
      <c r="D20" s="15" t="n">
        <v>4193.77978515625</v>
      </c>
      <c r="E20" s="16">
        <f>ROUND((B20/31.1034768)*D20, 2)</f>
        <v/>
      </c>
      <c r="F20" s="16">
        <f>ROUND((C20/31.1034768)*D20, 2)</f>
        <v/>
      </c>
      <c r="G20" s="17">
        <f>IFERROR((E20-E19)/E19, 0)</f>
        <v/>
      </c>
      <c r="H20" s="17">
        <f>IFERROR((F20-F19)/F19, 0)</f>
        <v/>
      </c>
    </row>
    <row r="21" ht="20" customHeight="1">
      <c r="A21" s="18" t="n">
        <v>45686</v>
      </c>
      <c r="B21" s="19" t="n">
        <v>2769.800048828125</v>
      </c>
      <c r="C21" s="19" t="n">
        <v>31.23800086975098</v>
      </c>
      <c r="D21" s="19" t="n">
        <v>4217.43994140625</v>
      </c>
      <c r="E21" s="20">
        <f>ROUND((B21/31.1034768)*D21, 2)</f>
        <v/>
      </c>
      <c r="F21" s="20">
        <f>ROUND((C21/31.1034768)*D21, 2)</f>
        <v/>
      </c>
      <c r="G21" s="21">
        <f>IFERROR((E21-E20)/E20, 0)</f>
        <v/>
      </c>
      <c r="H21" s="21">
        <f>IFERROR((F21-F20)/F20, 0)</f>
        <v/>
      </c>
    </row>
    <row r="22" ht="20" customHeight="1">
      <c r="A22" s="14" t="n">
        <v>45687</v>
      </c>
      <c r="B22" s="15" t="n">
        <v>2823</v>
      </c>
      <c r="C22" s="15" t="n">
        <v>32.36399841308594</v>
      </c>
      <c r="D22" s="15" t="n">
        <v>4167.830078125</v>
      </c>
      <c r="E22" s="16">
        <f>ROUND((B22/31.1034768)*D22, 2)</f>
        <v/>
      </c>
      <c r="F22" s="16">
        <f>ROUND((C22/31.1034768)*D22, 2)</f>
        <v/>
      </c>
      <c r="G22" s="17">
        <f>IFERROR((E22-E21)/E21, 0)</f>
        <v/>
      </c>
      <c r="H22" s="17">
        <f>IFERROR((F22-F21)/F21, 0)</f>
        <v/>
      </c>
    </row>
    <row r="23" ht="20" customHeight="1">
      <c r="A23" s="18" t="n">
        <v>45688</v>
      </c>
      <c r="B23" s="19" t="n">
        <v>2812.5</v>
      </c>
      <c r="C23" s="19" t="n">
        <v>32.12799835205078</v>
      </c>
      <c r="D23" s="19" t="n">
        <v>4160.0498046875</v>
      </c>
      <c r="E23" s="20">
        <f>ROUND((B23/31.1034768)*D23, 2)</f>
        <v/>
      </c>
      <c r="F23" s="20">
        <f>ROUND((C23/31.1034768)*D23, 2)</f>
        <v/>
      </c>
      <c r="G23" s="21">
        <f>IFERROR((E23-E22)/E22, 0)</f>
        <v/>
      </c>
      <c r="H23" s="21">
        <f>IFERROR((F23-F22)/F22, 0)</f>
        <v/>
      </c>
    </row>
    <row r="24" ht="20" customHeight="1">
      <c r="A24" s="14" t="n">
        <v>45691</v>
      </c>
      <c r="B24" s="15" t="n">
        <v>2857.10009765625</v>
      </c>
      <c r="C24" s="15" t="n">
        <v>32.39199829101562</v>
      </c>
      <c r="D24" s="15" t="n">
        <v>4170.0439453125</v>
      </c>
      <c r="E24" s="16">
        <f>ROUND((B24/31.1034768)*D24, 2)</f>
        <v/>
      </c>
      <c r="F24" s="16">
        <f>ROUND((C24/31.1034768)*D24, 2)</f>
        <v/>
      </c>
      <c r="G24" s="17">
        <f>IFERROR((E24-E23)/E23, 0)</f>
        <v/>
      </c>
      <c r="H24" s="17">
        <f>IFERROR((F24-F23)/F23, 0)</f>
        <v/>
      </c>
    </row>
    <row r="25" ht="20" customHeight="1">
      <c r="A25" s="18" t="n">
        <v>45692</v>
      </c>
      <c r="B25" s="19" t="n">
        <v>2875.800048828125</v>
      </c>
      <c r="C25" s="19" t="n">
        <v>32.88800048828125</v>
      </c>
      <c r="D25" s="19" t="n">
        <v>4160.669921875</v>
      </c>
      <c r="E25" s="20">
        <f>ROUND((B25/31.1034768)*D25, 2)</f>
        <v/>
      </c>
      <c r="F25" s="20">
        <f>ROUND((C25/31.1034768)*D25, 2)</f>
        <v/>
      </c>
      <c r="G25" s="21">
        <f>IFERROR((E25-E24)/E24, 0)</f>
        <v/>
      </c>
      <c r="H25" s="21">
        <f>IFERROR((F25-F24)/F24, 0)</f>
        <v/>
      </c>
    </row>
    <row r="26" ht="20" customHeight="1">
      <c r="A26" s="14" t="n">
        <v>45693</v>
      </c>
      <c r="B26" s="15" t="n">
        <v>2893</v>
      </c>
      <c r="C26" s="15" t="n">
        <v>32.85699844360352</v>
      </c>
      <c r="D26" s="15" t="n">
        <v>4164</v>
      </c>
      <c r="E26" s="16">
        <f>ROUND((B26/31.1034768)*D26, 2)</f>
        <v/>
      </c>
      <c r="F26" s="16">
        <f>ROUND((C26/31.1034768)*D26, 2)</f>
        <v/>
      </c>
      <c r="G26" s="17">
        <f>IFERROR((E26-E25)/E25, 0)</f>
        <v/>
      </c>
      <c r="H26" s="17">
        <f>IFERROR((F26-F25)/F25, 0)</f>
        <v/>
      </c>
    </row>
    <row r="27" ht="20" customHeight="1">
      <c r="A27" s="18" t="n">
        <v>45694</v>
      </c>
      <c r="B27" s="19" t="n">
        <v>2876.699951171875</v>
      </c>
      <c r="C27" s="19" t="n">
        <v>32.51800155639648</v>
      </c>
      <c r="D27" s="19" t="n">
        <v>4174.81982421875</v>
      </c>
      <c r="E27" s="20">
        <f>ROUND((B27/31.1034768)*D27, 2)</f>
        <v/>
      </c>
      <c r="F27" s="20">
        <f>ROUND((C27/31.1034768)*D27, 2)</f>
        <v/>
      </c>
      <c r="G27" s="21">
        <f>IFERROR((E27-E26)/E26, 0)</f>
        <v/>
      </c>
      <c r="H27" s="21">
        <f>IFERROR((F27-F26)/F26, 0)</f>
        <v/>
      </c>
    </row>
    <row r="28" ht="20" customHeight="1">
      <c r="A28" s="14" t="n">
        <v>45695</v>
      </c>
      <c r="B28" s="15" t="n">
        <v>2887.60009765625</v>
      </c>
      <c r="C28" s="15" t="n">
        <v>32.33499908447266</v>
      </c>
      <c r="D28" s="15" t="n">
        <v>4140.81005859375</v>
      </c>
      <c r="E28" s="16">
        <f>ROUND((B28/31.1034768)*D28, 2)</f>
        <v/>
      </c>
      <c r="F28" s="16">
        <f>ROUND((C28/31.1034768)*D28, 2)</f>
        <v/>
      </c>
      <c r="G28" s="17">
        <f>IFERROR((E28-E27)/E27, 0)</f>
        <v/>
      </c>
      <c r="H28" s="17">
        <f>IFERROR((F28-F27)/F27, 0)</f>
        <v/>
      </c>
    </row>
    <row r="29" ht="20" customHeight="1">
      <c r="A29" s="18" t="n">
        <v>45698</v>
      </c>
      <c r="B29" s="19" t="n">
        <v>2934.39990234375</v>
      </c>
      <c r="C29" s="19" t="n">
        <v>32.39199829101562</v>
      </c>
      <c r="D29" s="19" t="n">
        <v>4105.4619140625</v>
      </c>
      <c r="E29" s="20">
        <f>ROUND((B29/31.1034768)*D29, 2)</f>
        <v/>
      </c>
      <c r="F29" s="20">
        <f>ROUND((C29/31.1034768)*D29, 2)</f>
        <v/>
      </c>
      <c r="G29" s="21">
        <f>IFERROR((E29-E28)/E28, 0)</f>
        <v/>
      </c>
      <c r="H29" s="21">
        <f>IFERROR((F29-F28)/F28, 0)</f>
        <v/>
      </c>
    </row>
    <row r="30" ht="20" customHeight="1">
      <c r="A30" s="14" t="n">
        <v>45699</v>
      </c>
      <c r="B30" s="15" t="n">
        <v>2932.60009765625</v>
      </c>
      <c r="C30" s="15" t="n">
        <v>32.23099899291992</v>
      </c>
      <c r="D30" s="15" t="n">
        <v>4134.25</v>
      </c>
      <c r="E30" s="16">
        <f>ROUND((B30/31.1034768)*D30, 2)</f>
        <v/>
      </c>
      <c r="F30" s="16">
        <f>ROUND((C30/31.1034768)*D30, 2)</f>
        <v/>
      </c>
      <c r="G30" s="17">
        <f>IFERROR((E30-E29)/E29, 0)</f>
        <v/>
      </c>
      <c r="H30" s="17">
        <f>IFERROR((F30-F29)/F29, 0)</f>
        <v/>
      </c>
    </row>
    <row r="31" ht="20" customHeight="1">
      <c r="A31" s="18" t="n">
        <v>45700</v>
      </c>
      <c r="B31" s="19" t="n">
        <v>2928.699951171875</v>
      </c>
      <c r="C31" s="19" t="n">
        <v>32.69499969482422</v>
      </c>
      <c r="D31" s="19" t="n">
        <v>4139.81982421875</v>
      </c>
      <c r="E31" s="20">
        <f>ROUND((B31/31.1034768)*D31, 2)</f>
        <v/>
      </c>
      <c r="F31" s="20">
        <f>ROUND((C31/31.1034768)*D31, 2)</f>
        <v/>
      </c>
      <c r="G31" s="21">
        <f>IFERROR((E31-E30)/E30, 0)</f>
        <v/>
      </c>
      <c r="H31" s="21">
        <f>IFERROR((F31-F30)/F30, 0)</f>
        <v/>
      </c>
    </row>
    <row r="32" ht="20" customHeight="1">
      <c r="A32" s="14" t="n">
        <v>45701</v>
      </c>
      <c r="B32" s="15" t="n">
        <v>2945.39990234375</v>
      </c>
      <c r="C32" s="15" t="n">
        <v>32.65000152587891</v>
      </c>
      <c r="D32" s="15" t="n">
        <v>4165.35009765625</v>
      </c>
      <c r="E32" s="16">
        <f>ROUND((B32/31.1034768)*D32, 2)</f>
        <v/>
      </c>
      <c r="F32" s="16">
        <f>ROUND((C32/31.1034768)*D32, 2)</f>
        <v/>
      </c>
      <c r="G32" s="17">
        <f>IFERROR((E32-E31)/E31, 0)</f>
        <v/>
      </c>
      <c r="H32" s="17">
        <f>IFERROR((F32-F31)/F31, 0)</f>
        <v/>
      </c>
    </row>
    <row r="33" ht="20" customHeight="1">
      <c r="A33" s="18" t="n">
        <v>45702</v>
      </c>
      <c r="B33" s="19" t="n">
        <v>2900.699951171875</v>
      </c>
      <c r="C33" s="19" t="n">
        <v>32.80099868774414</v>
      </c>
      <c r="D33" s="19" t="n">
        <v>4137.6298828125</v>
      </c>
      <c r="E33" s="20">
        <f>ROUND((B33/31.1034768)*D33, 2)</f>
        <v/>
      </c>
      <c r="F33" s="20">
        <f>ROUND((C33/31.1034768)*D33, 2)</f>
        <v/>
      </c>
      <c r="G33" s="21">
        <f>IFERROR((E33-E32)/E32, 0)</f>
        <v/>
      </c>
      <c r="H33" s="21">
        <f>IFERROR((F33-F32)/F32, 0)</f>
        <v/>
      </c>
    </row>
    <row r="34" ht="20" customHeight="1">
      <c r="A34" s="14" t="n">
        <v>45705</v>
      </c>
      <c r="B34" s="15" t="n">
        <v>2900.699951171875</v>
      </c>
      <c r="C34" s="15" t="n">
        <v>32.80099868774414</v>
      </c>
      <c r="D34" s="15" t="n">
        <v>4077.534912109375</v>
      </c>
      <c r="E34" s="16">
        <f>ROUND((B34/31.1034768)*D34, 2)</f>
        <v/>
      </c>
      <c r="F34" s="16">
        <f>ROUND((C34/31.1034768)*D34, 2)</f>
        <v/>
      </c>
      <c r="G34" s="17">
        <f>IFERROR((E34-E33)/E33, 0)</f>
        <v/>
      </c>
      <c r="H34" s="17">
        <f>IFERROR((F34-F33)/F33, 0)</f>
        <v/>
      </c>
    </row>
    <row r="35" ht="20" customHeight="1">
      <c r="A35" s="18" t="n">
        <v>45706</v>
      </c>
      <c r="B35" s="19" t="n">
        <v>2949</v>
      </c>
      <c r="C35" s="19" t="n">
        <v>33.31700134277344</v>
      </c>
      <c r="D35" s="19" t="n">
        <v>4134.25</v>
      </c>
      <c r="E35" s="20">
        <f>ROUND((B35/31.1034768)*D35, 2)</f>
        <v/>
      </c>
      <c r="F35" s="20">
        <f>ROUND((C35/31.1034768)*D35, 2)</f>
        <v/>
      </c>
      <c r="G35" s="21">
        <f>IFERROR((E35-E34)/E34, 0)</f>
        <v/>
      </c>
      <c r="H35" s="21">
        <f>IFERROR((F35-F34)/F34, 0)</f>
        <v/>
      </c>
    </row>
    <row r="36" ht="20" customHeight="1">
      <c r="A36" s="14" t="n">
        <v>45707</v>
      </c>
      <c r="B36" s="15" t="n">
        <v>2936.10009765625</v>
      </c>
      <c r="C36" s="15" t="n">
        <v>32.99300003051758</v>
      </c>
      <c r="D36" s="15" t="n">
        <v>4091.330078125</v>
      </c>
      <c r="E36" s="16">
        <f>ROUND((B36/31.1034768)*D36, 2)</f>
        <v/>
      </c>
      <c r="F36" s="16">
        <f>ROUND((C36/31.1034768)*D36, 2)</f>
        <v/>
      </c>
      <c r="G36" s="17">
        <f>IFERROR((E36-E35)/E35, 0)</f>
        <v/>
      </c>
      <c r="H36" s="17">
        <f>IFERROR((F36-F35)/F35, 0)</f>
        <v/>
      </c>
    </row>
    <row r="37" ht="20" customHeight="1">
      <c r="A37" s="18" t="n">
        <v>45708</v>
      </c>
      <c r="B37" s="19" t="n">
        <v>2956.10009765625</v>
      </c>
      <c r="C37" s="19" t="n">
        <v>33.44400024414062</v>
      </c>
      <c r="D37" s="19" t="n">
        <v>4097</v>
      </c>
      <c r="E37" s="20">
        <f>ROUND((B37/31.1034768)*D37, 2)</f>
        <v/>
      </c>
      <c r="F37" s="20">
        <f>ROUND((C37/31.1034768)*D37, 2)</f>
        <v/>
      </c>
      <c r="G37" s="21">
        <f>IFERROR((E37-E36)/E36, 0)</f>
        <v/>
      </c>
      <c r="H37" s="21">
        <f>IFERROR((F37-F36)/F36, 0)</f>
        <v/>
      </c>
    </row>
    <row r="38" ht="20" customHeight="1">
      <c r="A38" s="14" t="n">
        <v>45709</v>
      </c>
      <c r="B38" s="15" t="n">
        <v>2953.199951171875</v>
      </c>
      <c r="C38" s="15" t="n">
        <v>32.97600173950195</v>
      </c>
      <c r="D38" s="15" t="n">
        <v>4073.25</v>
      </c>
      <c r="E38" s="16">
        <f>ROUND((B38/31.1034768)*D38, 2)</f>
        <v/>
      </c>
      <c r="F38" s="16">
        <f>ROUND((C38/31.1034768)*D38, 2)</f>
        <v/>
      </c>
      <c r="G38" s="17">
        <f>IFERROR((E38-E37)/E37, 0)</f>
        <v/>
      </c>
      <c r="H38" s="17">
        <f>IFERROR((F38-F37)/F37, 0)</f>
        <v/>
      </c>
    </row>
    <row r="39" ht="20" customHeight="1">
      <c r="A39" s="18" t="n">
        <v>45712</v>
      </c>
      <c r="B39" s="19" t="n">
        <v>2963.199951171875</v>
      </c>
      <c r="C39" s="19" t="n">
        <v>32.57500076293945</v>
      </c>
      <c r="D39" s="19" t="n">
        <v>4030.2900390625</v>
      </c>
      <c r="E39" s="20">
        <f>ROUND((B39/31.1034768)*D39, 2)</f>
        <v/>
      </c>
      <c r="F39" s="20">
        <f>ROUND((C39/31.1034768)*D39, 2)</f>
        <v/>
      </c>
      <c r="G39" s="21">
        <f>IFERROR((E39-E38)/E38, 0)</f>
        <v/>
      </c>
      <c r="H39" s="21">
        <f>IFERROR((F39-F38)/F38, 0)</f>
        <v/>
      </c>
    </row>
    <row r="40" ht="20" customHeight="1">
      <c r="A40" s="14" t="n">
        <v>45713</v>
      </c>
      <c r="B40" s="15" t="n">
        <v>2918.800048828125</v>
      </c>
      <c r="C40" s="15" t="n">
        <v>31.80100059509277</v>
      </c>
      <c r="D40" s="15" t="n">
        <v>4116</v>
      </c>
      <c r="E40" s="16">
        <f>ROUND((B40/31.1034768)*D40, 2)</f>
        <v/>
      </c>
      <c r="F40" s="16">
        <f>ROUND((C40/31.1034768)*D40, 2)</f>
        <v/>
      </c>
      <c r="G40" s="17">
        <f>IFERROR((E40-E39)/E39, 0)</f>
        <v/>
      </c>
      <c r="H40" s="17">
        <f>IFERROR((F40-F39)/F39, 0)</f>
        <v/>
      </c>
    </row>
    <row r="41" ht="20" customHeight="1">
      <c r="A41" s="18" t="n">
        <v>45714</v>
      </c>
      <c r="B41" s="19" t="n">
        <v>2930.60009765625</v>
      </c>
      <c r="C41" s="19" t="n">
        <v>32.25299835205078</v>
      </c>
      <c r="D41" s="19" t="n">
        <v>4125.5</v>
      </c>
      <c r="E41" s="20">
        <f>ROUND((B41/31.1034768)*D41, 2)</f>
        <v/>
      </c>
      <c r="F41" s="20">
        <f>ROUND((C41/31.1034768)*D41, 2)</f>
        <v/>
      </c>
      <c r="G41" s="21">
        <f>IFERROR((E41-E40)/E40, 0)</f>
        <v/>
      </c>
      <c r="H41" s="21">
        <f>IFERROR((F41-F40)/F40, 0)</f>
        <v/>
      </c>
    </row>
    <row r="42" ht="20" customHeight="1">
      <c r="A42" s="14" t="n">
        <v>45715</v>
      </c>
      <c r="B42" s="15" t="n">
        <v>2895.89990234375</v>
      </c>
      <c r="C42" s="15" t="n">
        <v>31.80100059509277</v>
      </c>
      <c r="D42" s="15" t="n">
        <v>4103.080078125</v>
      </c>
      <c r="E42" s="16">
        <f>ROUND((B42/31.1034768)*D42, 2)</f>
        <v/>
      </c>
      <c r="F42" s="16">
        <f>ROUND((C42/31.1034768)*D42, 2)</f>
        <v/>
      </c>
      <c r="G42" s="17">
        <f>IFERROR((E42-E41)/E41, 0)</f>
        <v/>
      </c>
      <c r="H42" s="17">
        <f>IFERROR((F42-F41)/F41, 0)</f>
        <v/>
      </c>
    </row>
    <row r="43" ht="20" customHeight="1">
      <c r="A43" s="18" t="n">
        <v>45716</v>
      </c>
      <c r="B43" s="19" t="n">
        <v>2848.5</v>
      </c>
      <c r="C43" s="19" t="n">
        <v>31.2189998626709</v>
      </c>
      <c r="D43" s="19" t="n">
        <v>4130.5</v>
      </c>
      <c r="E43" s="20">
        <f>ROUND((B43/31.1034768)*D43, 2)</f>
        <v/>
      </c>
      <c r="F43" s="20">
        <f>ROUND((C43/31.1034768)*D43, 2)</f>
        <v/>
      </c>
      <c r="G43" s="21">
        <f>IFERROR((E43-E42)/E42, 0)</f>
        <v/>
      </c>
      <c r="H43" s="21">
        <f>IFERROR((F43-F42)/F42, 0)</f>
        <v/>
      </c>
    </row>
    <row r="44" ht="20" customHeight="1">
      <c r="A44" s="14" t="n">
        <v>45719</v>
      </c>
      <c r="B44" s="15" t="n">
        <v>2901.10009765625</v>
      </c>
      <c r="C44" s="15" t="n">
        <v>32.03200149536133</v>
      </c>
      <c r="D44" s="15" t="n">
        <v>4090.85205078125</v>
      </c>
      <c r="E44" s="16">
        <f>ROUND((B44/31.1034768)*D44, 2)</f>
        <v/>
      </c>
      <c r="F44" s="16">
        <f>ROUND((C44/31.1034768)*D44, 2)</f>
        <v/>
      </c>
      <c r="G44" s="17">
        <f>IFERROR((E44-E43)/E43, 0)</f>
        <v/>
      </c>
      <c r="H44" s="17">
        <f>IFERROR((F44-F43)/F43, 0)</f>
        <v/>
      </c>
    </row>
    <row r="45" ht="20" customHeight="1">
      <c r="A45" s="18" t="n">
        <v>45720</v>
      </c>
      <c r="B45" s="19" t="n">
        <v>2920.60009765625</v>
      </c>
      <c r="C45" s="19" t="n">
        <v>32.10800170898438</v>
      </c>
      <c r="D45" s="19" t="n">
        <v>4124.25</v>
      </c>
      <c r="E45" s="20">
        <f>ROUND((B45/31.1034768)*D45, 2)</f>
        <v/>
      </c>
      <c r="F45" s="20">
        <f>ROUND((C45/31.1034768)*D45, 2)</f>
        <v/>
      </c>
      <c r="G45" s="21">
        <f>IFERROR((E45-E44)/E44, 0)</f>
        <v/>
      </c>
      <c r="H45" s="21">
        <f>IFERROR((F45-F44)/F44, 0)</f>
        <v/>
      </c>
    </row>
    <row r="46" ht="20" customHeight="1">
      <c r="A46" s="14" t="n">
        <v>45721</v>
      </c>
      <c r="B46" s="15" t="n">
        <v>2926</v>
      </c>
      <c r="C46" s="15" t="n">
        <v>32.85800170898438</v>
      </c>
      <c r="D46" s="15" t="n">
        <v>4152.0498046875</v>
      </c>
      <c r="E46" s="16">
        <f>ROUND((B46/31.1034768)*D46, 2)</f>
        <v/>
      </c>
      <c r="F46" s="16">
        <f>ROUND((C46/31.1034768)*D46, 2)</f>
        <v/>
      </c>
      <c r="G46" s="17">
        <f>IFERROR((E46-E45)/E45, 0)</f>
        <v/>
      </c>
      <c r="H46" s="17">
        <f>IFERROR((F46-F45)/F45, 0)</f>
        <v/>
      </c>
    </row>
    <row r="47" ht="20" customHeight="1">
      <c r="A47" s="18" t="n">
        <v>45722</v>
      </c>
      <c r="B47" s="19" t="n">
        <v>2926.60009765625</v>
      </c>
      <c r="C47" s="19" t="n">
        <v>33.0629997253418</v>
      </c>
      <c r="D47" s="19" t="n">
        <v>4111.25</v>
      </c>
      <c r="E47" s="20">
        <f>ROUND((B47/31.1034768)*D47, 2)</f>
        <v/>
      </c>
      <c r="F47" s="20">
        <f>ROUND((C47/31.1034768)*D47, 2)</f>
        <v/>
      </c>
      <c r="G47" s="21">
        <f>IFERROR((E47-E46)/E46, 0)</f>
        <v/>
      </c>
      <c r="H47" s="21">
        <f>IFERROR((F47-F46)/F46, 0)</f>
        <v/>
      </c>
    </row>
    <row r="48" ht="20" customHeight="1">
      <c r="A48" s="14" t="n">
        <v>45723</v>
      </c>
      <c r="B48" s="15" t="n">
        <v>2914.10009765625</v>
      </c>
      <c r="C48" s="15" t="n">
        <v>32.54800033569336</v>
      </c>
      <c r="D48" s="15" t="n">
        <v>4106.25</v>
      </c>
      <c r="E48" s="16">
        <f>ROUND((B48/31.1034768)*D48, 2)</f>
        <v/>
      </c>
      <c r="F48" s="16">
        <f>ROUND((C48/31.1034768)*D48, 2)</f>
        <v/>
      </c>
      <c r="G48" s="17">
        <f>IFERROR((E48-E47)/E47, 0)</f>
        <v/>
      </c>
      <c r="H48" s="17">
        <f>IFERROR((F48-F47)/F47, 0)</f>
        <v/>
      </c>
    </row>
    <row r="49" ht="20" customHeight="1">
      <c r="A49" s="18" t="n">
        <v>45726</v>
      </c>
      <c r="B49" s="19" t="n">
        <v>2899.39990234375</v>
      </c>
      <c r="C49" s="19" t="n">
        <v>32.27500152587891</v>
      </c>
      <c r="D49" s="19" t="n">
        <v>4060.3515625</v>
      </c>
      <c r="E49" s="20">
        <f>ROUND((B49/31.1034768)*D49, 2)</f>
        <v/>
      </c>
      <c r="F49" s="20">
        <f>ROUND((C49/31.1034768)*D49, 2)</f>
        <v/>
      </c>
      <c r="G49" s="21">
        <f>IFERROR((E49-E48)/E48, 0)</f>
        <v/>
      </c>
      <c r="H49" s="21">
        <f>IFERROR((F49-F48)/F48, 0)</f>
        <v/>
      </c>
    </row>
    <row r="50" ht="20" customHeight="1">
      <c r="A50" s="14" t="n">
        <v>45727</v>
      </c>
      <c r="B50" s="15" t="n">
        <v>2920.89990234375</v>
      </c>
      <c r="C50" s="15" t="n">
        <v>32.88800048828125</v>
      </c>
      <c r="D50" s="15" t="n">
        <v>4179.5</v>
      </c>
      <c r="E50" s="16">
        <f>ROUND((B50/31.1034768)*D50, 2)</f>
        <v/>
      </c>
      <c r="F50" s="16">
        <f>ROUND((C50/31.1034768)*D50, 2)</f>
        <v/>
      </c>
      <c r="G50" s="17">
        <f>IFERROR((E50-E49)/E49, 0)</f>
        <v/>
      </c>
      <c r="H50" s="17">
        <f>IFERROR((F50-F49)/F49, 0)</f>
        <v/>
      </c>
    </row>
    <row r="51" ht="20" customHeight="1">
      <c r="A51" s="18" t="n">
        <v>45728</v>
      </c>
      <c r="B51" s="19" t="n">
        <v>2946.800048828125</v>
      </c>
      <c r="C51" s="19" t="n">
        <v>33.48400115966797</v>
      </c>
      <c r="D51" s="19" t="n">
        <v>4123.25</v>
      </c>
      <c r="E51" s="20">
        <f>ROUND((B51/31.1034768)*D51, 2)</f>
        <v/>
      </c>
      <c r="F51" s="20">
        <f>ROUND((C51/31.1034768)*D51, 2)</f>
        <v/>
      </c>
      <c r="G51" s="21">
        <f>IFERROR((E51-E50)/E50, 0)</f>
        <v/>
      </c>
      <c r="H51" s="21">
        <f>IFERROR((F51-F50)/F50, 0)</f>
        <v/>
      </c>
    </row>
    <row r="52" ht="20" customHeight="1">
      <c r="A52" s="14" t="n">
        <v>45729</v>
      </c>
      <c r="B52" s="15" t="n">
        <v>2991.300048828125</v>
      </c>
      <c r="C52" s="15" t="n">
        <v>34.05099868774414</v>
      </c>
      <c r="D52" s="15" t="n">
        <v>4107.75</v>
      </c>
      <c r="E52" s="16">
        <f>ROUND((B52/31.1034768)*D52, 2)</f>
        <v/>
      </c>
      <c r="F52" s="16">
        <f>ROUND((C52/31.1034768)*D52, 2)</f>
        <v/>
      </c>
      <c r="G52" s="17">
        <f>IFERROR((E52-E51)/E51, 0)</f>
        <v/>
      </c>
      <c r="H52" s="17">
        <f>IFERROR((F52-F51)/F51, 0)</f>
        <v/>
      </c>
    </row>
    <row r="53" ht="20" customHeight="1">
      <c r="A53" s="18" t="n">
        <v>45730</v>
      </c>
      <c r="B53" s="19" t="n">
        <v>3001.10009765625</v>
      </c>
      <c r="C53" s="19" t="n">
        <v>34.1870002746582</v>
      </c>
      <c r="D53" s="19" t="n">
        <v>4123.25</v>
      </c>
      <c r="E53" s="20">
        <f>ROUND((B53/31.1034768)*D53, 2)</f>
        <v/>
      </c>
      <c r="F53" s="20">
        <f>ROUND((C53/31.1034768)*D53, 2)</f>
        <v/>
      </c>
      <c r="G53" s="21">
        <f>IFERROR((E53-E52)/E52, 0)</f>
        <v/>
      </c>
      <c r="H53" s="21">
        <f>IFERROR((F53-F52)/F52, 0)</f>
        <v/>
      </c>
    </row>
    <row r="54" ht="20" customHeight="1">
      <c r="A54" s="14" t="n">
        <v>45733</v>
      </c>
      <c r="B54" s="15" t="n">
        <v>3006.10009765625</v>
      </c>
      <c r="C54" s="15" t="n">
        <v>34.07400131225586</v>
      </c>
      <c r="D54" s="15" t="n">
        <v>4069.672607421875</v>
      </c>
      <c r="E54" s="16">
        <f>ROUND((B54/31.1034768)*D54, 2)</f>
        <v/>
      </c>
      <c r="F54" s="16">
        <f>ROUND((C54/31.1034768)*D54, 2)</f>
        <v/>
      </c>
      <c r="G54" s="17">
        <f>IFERROR((E54-E53)/E53, 0)</f>
        <v/>
      </c>
      <c r="H54" s="17">
        <f>IFERROR((F54-F53)/F53, 0)</f>
        <v/>
      </c>
    </row>
    <row r="55" ht="20" customHeight="1">
      <c r="A55" s="18" t="n">
        <v>45734</v>
      </c>
      <c r="B55" s="19" t="n">
        <v>3040.800048828125</v>
      </c>
      <c r="C55" s="19" t="n">
        <v>34.57899856567383</v>
      </c>
      <c r="D55" s="19" t="n">
        <v>4071.5</v>
      </c>
      <c r="E55" s="20">
        <f>ROUND((B55/31.1034768)*D55, 2)</f>
        <v/>
      </c>
      <c r="F55" s="20">
        <f>ROUND((C55/31.1034768)*D55, 2)</f>
        <v/>
      </c>
      <c r="G55" s="21">
        <f>IFERROR((E55-E54)/E54, 0)</f>
        <v/>
      </c>
      <c r="H55" s="21">
        <f>IFERROR((F55-F54)/F54, 0)</f>
        <v/>
      </c>
    </row>
    <row r="56" ht="20" customHeight="1">
      <c r="A56" s="14" t="n">
        <v>45735</v>
      </c>
      <c r="B56" s="15" t="n">
        <v>3041.199951171875</v>
      </c>
      <c r="C56" s="15" t="n">
        <v>33.97499847412109</v>
      </c>
      <c r="D56" s="15" t="n">
        <v>4117.5</v>
      </c>
      <c r="E56" s="16">
        <f>ROUND((B56/31.1034768)*D56, 2)</f>
        <v/>
      </c>
      <c r="F56" s="16">
        <f>ROUND((C56/31.1034768)*D56, 2)</f>
        <v/>
      </c>
      <c r="G56" s="17">
        <f>IFERROR((E56-E55)/E55, 0)</f>
        <v/>
      </c>
      <c r="H56" s="17">
        <f>IFERROR((F56-F55)/F55, 0)</f>
        <v/>
      </c>
    </row>
    <row r="57" ht="20" customHeight="1">
      <c r="A57" s="18" t="n">
        <v>45736</v>
      </c>
      <c r="B57" s="19" t="n">
        <v>3043.800048828125</v>
      </c>
      <c r="C57" s="19" t="n">
        <v>33.7859992980957</v>
      </c>
      <c r="D57" s="19" t="n">
        <v>4150.490234375</v>
      </c>
      <c r="E57" s="20">
        <f>ROUND((B57/31.1034768)*D57, 2)</f>
        <v/>
      </c>
      <c r="F57" s="20">
        <f>ROUND((C57/31.1034768)*D57, 2)</f>
        <v/>
      </c>
      <c r="G57" s="21">
        <f>IFERROR((E57-E56)/E56, 0)</f>
        <v/>
      </c>
      <c r="H57" s="21">
        <f>IFERROR((F57-F56)/F56, 0)</f>
        <v/>
      </c>
    </row>
    <row r="58" ht="20" customHeight="1">
      <c r="A58" s="14" t="n">
        <v>45737</v>
      </c>
      <c r="B58" s="15" t="n">
        <v>3021.39990234375</v>
      </c>
      <c r="C58" s="15" t="n">
        <v>33.29000091552734</v>
      </c>
      <c r="D58" s="15" t="n">
        <v>4178.39990234375</v>
      </c>
      <c r="E58" s="16">
        <f>ROUND((B58/31.1034768)*D58, 2)</f>
        <v/>
      </c>
      <c r="F58" s="16">
        <f>ROUND((C58/31.1034768)*D58, 2)</f>
        <v/>
      </c>
      <c r="G58" s="17">
        <f>IFERROR((E58-E57)/E57, 0)</f>
        <v/>
      </c>
      <c r="H58" s="17">
        <f>IFERROR((F58-F57)/F57, 0)</f>
        <v/>
      </c>
    </row>
    <row r="59" ht="20" customHeight="1">
      <c r="A59" s="18" t="n">
        <v>45740</v>
      </c>
      <c r="B59" s="19" t="n">
        <v>3015.60009765625</v>
      </c>
      <c r="C59" s="19" t="n">
        <v>33.26499938964844</v>
      </c>
      <c r="D59" s="19" t="n">
        <v>4116.01953125</v>
      </c>
      <c r="E59" s="20">
        <f>ROUND((B59/31.1034768)*D59, 2)</f>
        <v/>
      </c>
      <c r="F59" s="20">
        <f>ROUND((C59/31.1034768)*D59, 2)</f>
        <v/>
      </c>
      <c r="G59" s="21">
        <f>IFERROR((E59-E58)/E58, 0)</f>
        <v/>
      </c>
      <c r="H59" s="21">
        <f>IFERROR((F59-F58)/F58, 0)</f>
        <v/>
      </c>
    </row>
    <row r="60" ht="20" customHeight="1">
      <c r="A60" s="14" t="n">
        <v>45741</v>
      </c>
      <c r="B60" s="15" t="n">
        <v>3025.89990234375</v>
      </c>
      <c r="C60" s="15" t="n">
        <v>34.00199890136719</v>
      </c>
      <c r="D60" s="15" t="n">
        <v>4143.91015625</v>
      </c>
      <c r="E60" s="16">
        <f>ROUND((B60/31.1034768)*D60, 2)</f>
        <v/>
      </c>
      <c r="F60" s="16">
        <f>ROUND((C60/31.1034768)*D60, 2)</f>
        <v/>
      </c>
      <c r="G60" s="17">
        <f>IFERROR((E60-E59)/E59, 0)</f>
        <v/>
      </c>
      <c r="H60" s="17">
        <f>IFERROR((F60-F59)/F59, 0)</f>
        <v/>
      </c>
    </row>
    <row r="61" ht="20" customHeight="1">
      <c r="A61" s="18" t="n">
        <v>45742</v>
      </c>
      <c r="B61" s="19" t="n">
        <v>3022.5</v>
      </c>
      <c r="C61" s="19" t="n">
        <v>34.03300094604492</v>
      </c>
      <c r="D61" s="19" t="n">
        <v>4102</v>
      </c>
      <c r="E61" s="20">
        <f>ROUND((B61/31.1034768)*D61, 2)</f>
        <v/>
      </c>
      <c r="F61" s="20">
        <f>ROUND((C61/31.1034768)*D61, 2)</f>
        <v/>
      </c>
      <c r="G61" s="21">
        <f>IFERROR((E61-E60)/E60, 0)</f>
        <v/>
      </c>
      <c r="H61" s="21">
        <f>IFERROR((F61-F60)/F60, 0)</f>
        <v/>
      </c>
    </row>
    <row r="62" ht="20" customHeight="1">
      <c r="A62" s="14" t="n">
        <v>45743</v>
      </c>
      <c r="B62" s="15" t="n">
        <v>3061</v>
      </c>
      <c r="C62" s="15" t="n">
        <v>34.89699935913086</v>
      </c>
      <c r="D62" s="15" t="n">
        <v>4130.18017578125</v>
      </c>
      <c r="E62" s="16">
        <f>ROUND((B62/31.1034768)*D62, 2)</f>
        <v/>
      </c>
      <c r="F62" s="16">
        <f>ROUND((C62/31.1034768)*D62, 2)</f>
        <v/>
      </c>
      <c r="G62" s="17">
        <f>IFERROR((E62-E61)/E61, 0)</f>
        <v/>
      </c>
      <c r="H62" s="17">
        <f>IFERROR((F62-F61)/F61, 0)</f>
        <v/>
      </c>
    </row>
    <row r="63" ht="20" customHeight="1">
      <c r="A63" s="18" t="n">
        <v>45744</v>
      </c>
      <c r="B63" s="19" t="n">
        <v>3086.5</v>
      </c>
      <c r="C63" s="19" t="n">
        <v>34.64400100708008</v>
      </c>
      <c r="D63" s="19" t="n">
        <v>4166.5</v>
      </c>
      <c r="E63" s="20">
        <f>ROUND((B63/31.1034768)*D63, 2)</f>
        <v/>
      </c>
      <c r="F63" s="20">
        <f>ROUND((C63/31.1034768)*D63, 2)</f>
        <v/>
      </c>
      <c r="G63" s="21">
        <f>IFERROR((E63-E62)/E62, 0)</f>
        <v/>
      </c>
      <c r="H63" s="21">
        <f>IFERROR((F63-F62)/F62, 0)</f>
        <v/>
      </c>
    </row>
    <row r="64" ht="20" customHeight="1">
      <c r="A64" s="14" t="n">
        <v>45746</v>
      </c>
      <c r="B64" s="15" t="n">
        <v>3086.5</v>
      </c>
      <c r="C64" s="15" t="n">
        <v>34.64400100708008</v>
      </c>
      <c r="D64" s="15" t="n">
        <v>4125.830078125</v>
      </c>
      <c r="E64" s="16">
        <f>ROUND((B64/31.1034768)*D64, 2)</f>
        <v/>
      </c>
      <c r="F64" s="16">
        <f>ROUND((C64/31.1034768)*D64, 2)</f>
        <v/>
      </c>
      <c r="G64" s="17">
        <f>IFERROR((E64-E63)/E63, 0)</f>
        <v/>
      </c>
      <c r="H64" s="17">
        <f>IFERROR((F64-F63)/F63, 0)</f>
        <v/>
      </c>
    </row>
    <row r="65" ht="20" customHeight="1">
      <c r="A65" s="18" t="n">
        <v>45747</v>
      </c>
      <c r="B65" s="19" t="n">
        <v>3122.800048828125</v>
      </c>
      <c r="C65" s="19" t="n">
        <v>34.45700073242188</v>
      </c>
      <c r="D65" s="19" t="n">
        <v>4182.75</v>
      </c>
      <c r="E65" s="20">
        <f>ROUND((B65/31.1034768)*D65, 2)</f>
        <v/>
      </c>
      <c r="F65" s="20">
        <f>ROUND((C65/31.1034768)*D65, 2)</f>
        <v/>
      </c>
      <c r="G65" s="21">
        <f>IFERROR((E65-E64)/E64, 0)</f>
        <v/>
      </c>
      <c r="H65" s="21">
        <f>IFERROR((F65-F64)/F64, 0)</f>
        <v/>
      </c>
    </row>
    <row r="66" ht="20" customHeight="1">
      <c r="A66" s="14" t="n">
        <v>45748</v>
      </c>
      <c r="B66" s="15" t="n">
        <v>3146</v>
      </c>
      <c r="C66" s="15" t="n">
        <v>34.15800094604492</v>
      </c>
      <c r="D66" s="15" t="n">
        <v>4146.75</v>
      </c>
      <c r="E66" s="16">
        <f>ROUND((B66/31.1034768)*D66, 2)</f>
        <v/>
      </c>
      <c r="F66" s="16">
        <f>ROUND((C66/31.1034768)*D66, 2)</f>
        <v/>
      </c>
      <c r="G66" s="17">
        <f>IFERROR((E66-E65)/E65, 0)</f>
        <v/>
      </c>
      <c r="H66" s="17">
        <f>IFERROR((F66-F65)/F65, 0)</f>
        <v/>
      </c>
    </row>
    <row r="67" ht="20" customHeight="1">
      <c r="A67" s="18" t="n">
        <v>45749</v>
      </c>
      <c r="B67" s="19" t="n">
        <v>3166.199951171875</v>
      </c>
      <c r="C67" s="19" t="n">
        <v>34.49900054931641</v>
      </c>
      <c r="D67" s="19" t="n">
        <v>4149.5</v>
      </c>
      <c r="E67" s="20">
        <f>ROUND((B67/31.1034768)*D67, 2)</f>
        <v/>
      </c>
      <c r="F67" s="20">
        <f>ROUND((C67/31.1034768)*D67, 2)</f>
        <v/>
      </c>
      <c r="G67" s="21">
        <f>IFERROR((E67-E66)/E66, 0)</f>
        <v/>
      </c>
      <c r="H67" s="21">
        <f>IFERROR((F67-F66)/F66, 0)</f>
        <v/>
      </c>
    </row>
    <row r="68" ht="20" customHeight="1">
      <c r="A68" s="14" t="n">
        <v>45750</v>
      </c>
      <c r="B68" s="15" t="n">
        <v>3121.699951171875</v>
      </c>
      <c r="C68" s="15" t="n">
        <v>31.8439998626709</v>
      </c>
      <c r="D68" s="15" t="n">
        <v>4158.2001953125</v>
      </c>
      <c r="E68" s="16">
        <f>ROUND((B68/31.1034768)*D68, 2)</f>
        <v/>
      </c>
      <c r="F68" s="16">
        <f>ROUND((C68/31.1034768)*D68, 2)</f>
        <v/>
      </c>
      <c r="G68" s="17">
        <f>IFERROR((E68-E67)/E67, 0)</f>
        <v/>
      </c>
      <c r="H68" s="17">
        <f>IFERROR((F68-F67)/F67, 0)</f>
        <v/>
      </c>
    </row>
    <row r="69" ht="20" customHeight="1">
      <c r="A69" s="18" t="n">
        <v>45751</v>
      </c>
      <c r="B69" s="19" t="n">
        <v>3035.39990234375</v>
      </c>
      <c r="C69" s="19" t="n">
        <v>29.11599922180176</v>
      </c>
      <c r="D69" s="19" t="n">
        <v>4158.2001953125</v>
      </c>
      <c r="E69" s="20">
        <f>ROUND((B69/31.1034768)*D69, 2)</f>
        <v/>
      </c>
      <c r="F69" s="20">
        <f>ROUND((C69/31.1034768)*D69, 2)</f>
        <v/>
      </c>
      <c r="G69" s="21">
        <f>IFERROR((E69-E68)/E68, 0)</f>
        <v/>
      </c>
      <c r="H69" s="21">
        <f>IFERROR((F69-F68)/F68, 0)</f>
        <v/>
      </c>
    </row>
    <row r="70" ht="20" customHeight="1">
      <c r="A70" s="14" t="n">
        <v>45753</v>
      </c>
      <c r="B70" s="15" t="n">
        <v>3035.39990234375</v>
      </c>
      <c r="C70" s="15" t="n">
        <v>29.11599922180176</v>
      </c>
      <c r="D70" s="15" t="n">
        <v>4179.9599609375</v>
      </c>
      <c r="E70" s="16">
        <f>ROUND((B70/31.1034768)*D70, 2)</f>
        <v/>
      </c>
      <c r="F70" s="16">
        <f>ROUND((C70/31.1034768)*D70, 2)</f>
        <v/>
      </c>
      <c r="G70" s="17">
        <f>IFERROR((E70-E69)/E69, 0)</f>
        <v/>
      </c>
      <c r="H70" s="17">
        <f>IFERROR((F70-F69)/F69, 0)</f>
        <v/>
      </c>
    </row>
    <row r="71" ht="20" customHeight="1">
      <c r="A71" s="18" t="n">
        <v>45754</v>
      </c>
      <c r="B71" s="19" t="n">
        <v>2973.60009765625</v>
      </c>
      <c r="C71" s="19" t="n">
        <v>29.51000022888184</v>
      </c>
      <c r="D71" s="19" t="n">
        <v>4390.5</v>
      </c>
      <c r="E71" s="20">
        <f>ROUND((B71/31.1034768)*D71, 2)</f>
        <v/>
      </c>
      <c r="F71" s="20">
        <f>ROUND((C71/31.1034768)*D71, 2)</f>
        <v/>
      </c>
      <c r="G71" s="21">
        <f>IFERROR((E71-E70)/E70, 0)</f>
        <v/>
      </c>
      <c r="H71" s="21">
        <f>IFERROR((F71-F70)/F70, 0)</f>
        <v/>
      </c>
    </row>
    <row r="72" ht="20" customHeight="1">
      <c r="A72" s="14" t="n">
        <v>45755</v>
      </c>
      <c r="B72" s="15" t="n">
        <v>2990.199951171875</v>
      </c>
      <c r="C72" s="15" t="n">
        <v>29.59199905395508</v>
      </c>
      <c r="D72" s="15" t="n">
        <v>4422.5</v>
      </c>
      <c r="E72" s="16">
        <f>ROUND((B72/31.1034768)*D72, 2)</f>
        <v/>
      </c>
      <c r="F72" s="16">
        <f>ROUND((C72/31.1034768)*D72, 2)</f>
        <v/>
      </c>
      <c r="G72" s="17">
        <f>IFERROR((E72-E71)/E71, 0)</f>
        <v/>
      </c>
      <c r="H72" s="17">
        <f>IFERROR((F72-F71)/F71, 0)</f>
        <v/>
      </c>
    </row>
    <row r="73" ht="20" customHeight="1">
      <c r="A73" s="18" t="n">
        <v>45756</v>
      </c>
      <c r="B73" s="19" t="n">
        <v>3079.39990234375</v>
      </c>
      <c r="C73" s="19" t="n">
        <v>30.32299995422363</v>
      </c>
      <c r="D73" s="19" t="n">
        <v>4300.5</v>
      </c>
      <c r="E73" s="20">
        <f>ROUND((B73/31.1034768)*D73, 2)</f>
        <v/>
      </c>
      <c r="F73" s="20">
        <f>ROUND((C73/31.1034768)*D73, 2)</f>
        <v/>
      </c>
      <c r="G73" s="21">
        <f>IFERROR((E73-E72)/E72, 0)</f>
        <v/>
      </c>
      <c r="H73" s="21">
        <f>IFERROR((F73-F72)/F72, 0)</f>
        <v/>
      </c>
    </row>
    <row r="74" ht="20" customHeight="1">
      <c r="A74" s="14" t="n">
        <v>45757</v>
      </c>
      <c r="B74" s="15" t="n">
        <v>3177.5</v>
      </c>
      <c r="C74" s="15" t="n">
        <v>30.67099952697754</v>
      </c>
      <c r="D74" s="15" t="n">
        <v>4369</v>
      </c>
      <c r="E74" s="16">
        <f>ROUND((B74/31.1034768)*D74, 2)</f>
        <v/>
      </c>
      <c r="F74" s="16">
        <f>ROUND((C74/31.1034768)*D74, 2)</f>
        <v/>
      </c>
      <c r="G74" s="17">
        <f>IFERROR((E74-E73)/E73, 0)</f>
        <v/>
      </c>
      <c r="H74" s="17">
        <f>IFERROR((F74-F73)/F73, 0)</f>
        <v/>
      </c>
    </row>
    <row r="75" ht="20" customHeight="1">
      <c r="A75" s="18" t="n">
        <v>45758</v>
      </c>
      <c r="B75" s="19" t="n">
        <v>3244.60009765625</v>
      </c>
      <c r="C75" s="19" t="n">
        <v>31.82399940490723</v>
      </c>
      <c r="D75" s="19" t="n">
        <v>4369</v>
      </c>
      <c r="E75" s="20">
        <f>ROUND((B75/31.1034768)*D75, 2)</f>
        <v/>
      </c>
      <c r="F75" s="20">
        <f>ROUND((C75/31.1034768)*D75, 2)</f>
        <v/>
      </c>
      <c r="G75" s="21">
        <f>IFERROR((E75-E74)/E74, 0)</f>
        <v/>
      </c>
      <c r="H75" s="21">
        <f>IFERROR((F75-F74)/F74, 0)</f>
        <v/>
      </c>
    </row>
    <row r="76" ht="20" customHeight="1">
      <c r="A76" s="14" t="n">
        <v>45760</v>
      </c>
      <c r="B76" s="15" t="n">
        <v>3244.60009765625</v>
      </c>
      <c r="C76" s="15" t="n">
        <v>31.82399940490723</v>
      </c>
      <c r="D76" s="15" t="n">
        <v>4277.0498046875</v>
      </c>
      <c r="E76" s="16">
        <f>ROUND((B76/31.1034768)*D76, 2)</f>
        <v/>
      </c>
      <c r="F76" s="16">
        <f>ROUND((C76/31.1034768)*D76, 2)</f>
        <v/>
      </c>
      <c r="G76" s="17">
        <f>IFERROR((E76-E75)/E75, 0)</f>
        <v/>
      </c>
      <c r="H76" s="17">
        <f>IFERROR((F76-F75)/F75, 0)</f>
        <v/>
      </c>
    </row>
    <row r="77" ht="20" customHeight="1">
      <c r="A77" s="18" t="n">
        <v>45761</v>
      </c>
      <c r="B77" s="19" t="n">
        <v>3226.300048828125</v>
      </c>
      <c r="C77" s="19" t="n">
        <v>32.09199905395508</v>
      </c>
      <c r="D77" s="19" t="n">
        <v>4307.5</v>
      </c>
      <c r="E77" s="20">
        <f>ROUND((B77/31.1034768)*D77, 2)</f>
        <v/>
      </c>
      <c r="F77" s="20">
        <f>ROUND((C77/31.1034768)*D77, 2)</f>
        <v/>
      </c>
      <c r="G77" s="21">
        <f>IFERROR((E77-E76)/E76, 0)</f>
        <v/>
      </c>
      <c r="H77" s="21">
        <f>IFERROR((F77-F76)/F76, 0)</f>
        <v/>
      </c>
    </row>
    <row r="78" ht="20" customHeight="1">
      <c r="A78" s="14" t="n">
        <v>45762</v>
      </c>
      <c r="B78" s="15" t="n">
        <v>3240.39990234375</v>
      </c>
      <c r="C78" s="15" t="n">
        <v>32.22700119018555</v>
      </c>
      <c r="D78" s="15" t="n">
        <v>4349.25</v>
      </c>
      <c r="E78" s="16">
        <f>ROUND((B78/31.1034768)*D78, 2)</f>
        <v/>
      </c>
      <c r="F78" s="16">
        <f>ROUND((C78/31.1034768)*D78, 2)</f>
        <v/>
      </c>
      <c r="G78" s="17">
        <f>IFERROR((E78-E77)/E77, 0)</f>
        <v/>
      </c>
      <c r="H78" s="17">
        <f>IFERROR((F78-F77)/F77, 0)</f>
        <v/>
      </c>
    </row>
    <row r="79" ht="20" customHeight="1">
      <c r="A79" s="18" t="n">
        <v>45763</v>
      </c>
      <c r="B79" s="19" t="n">
        <v>3346.39990234375</v>
      </c>
      <c r="C79" s="19" t="n">
        <v>32.92599868774414</v>
      </c>
      <c r="D79" s="19" t="n">
        <v>4310.3701171875</v>
      </c>
      <c r="E79" s="20">
        <f>ROUND((B79/31.1034768)*D79, 2)</f>
        <v/>
      </c>
      <c r="F79" s="20">
        <f>ROUND((C79/31.1034768)*D79, 2)</f>
        <v/>
      </c>
      <c r="G79" s="21">
        <f>IFERROR((E79-E78)/E78, 0)</f>
        <v/>
      </c>
      <c r="H79" s="21">
        <f>IFERROR((F79-F78)/F78, 0)</f>
        <v/>
      </c>
    </row>
    <row r="80" ht="20" customHeight="1">
      <c r="A80" s="14" t="n">
        <v>45764</v>
      </c>
      <c r="B80" s="15" t="n">
        <v>3328.39990234375</v>
      </c>
      <c r="C80" s="15" t="n">
        <v>32.41999816894531</v>
      </c>
      <c r="D80" s="15" t="n">
        <v>4310.3701171875</v>
      </c>
      <c r="E80" s="16">
        <f>ROUND((B80/31.1034768)*D80, 2)</f>
        <v/>
      </c>
      <c r="F80" s="16">
        <f>ROUND((C80/31.1034768)*D80, 2)</f>
        <v/>
      </c>
      <c r="G80" s="17">
        <f>IFERROR((E80-E79)/E79, 0)</f>
        <v/>
      </c>
      <c r="H80" s="17">
        <f>IFERROR((F80-F79)/F79, 0)</f>
        <v/>
      </c>
    </row>
    <row r="81" ht="20" customHeight="1">
      <c r="A81" s="18" t="n">
        <v>45768</v>
      </c>
      <c r="B81" s="19" t="n">
        <v>3425.300048828125</v>
      </c>
      <c r="C81" s="19" t="n">
        <v>32.49599838256836</v>
      </c>
      <c r="D81" s="19" t="n">
        <v>4279.25</v>
      </c>
      <c r="E81" s="20">
        <f>ROUND((B81/31.1034768)*D81, 2)</f>
        <v/>
      </c>
      <c r="F81" s="20">
        <f>ROUND((C81/31.1034768)*D81, 2)</f>
        <v/>
      </c>
      <c r="G81" s="21">
        <f>IFERROR((E81-E80)/E80, 0)</f>
        <v/>
      </c>
      <c r="H81" s="21">
        <f>IFERROR((F81-F80)/F80, 0)</f>
        <v/>
      </c>
    </row>
    <row r="82" ht="20" customHeight="1">
      <c r="A82" s="14" t="n">
        <v>45769</v>
      </c>
      <c r="B82" s="15" t="n">
        <v>3419.39990234375</v>
      </c>
      <c r="C82" s="15" t="n">
        <v>32.88000106811523</v>
      </c>
      <c r="D82" s="15" t="n">
        <v>4293.5</v>
      </c>
      <c r="E82" s="16">
        <f>ROUND((B82/31.1034768)*D82, 2)</f>
        <v/>
      </c>
      <c r="F82" s="16">
        <f>ROUND((C82/31.1034768)*D82, 2)</f>
        <v/>
      </c>
      <c r="G82" s="17">
        <f>IFERROR((E82-E81)/E81, 0)</f>
        <v/>
      </c>
      <c r="H82" s="17">
        <f>IFERROR((F82-F81)/F81, 0)</f>
        <v/>
      </c>
    </row>
    <row r="83" ht="20" customHeight="1">
      <c r="A83" s="18" t="n">
        <v>45770</v>
      </c>
      <c r="B83" s="19" t="n">
        <v>3294.10009765625</v>
      </c>
      <c r="C83" s="19" t="n">
        <v>33.51800155639648</v>
      </c>
      <c r="D83" s="19" t="n">
        <v>4300.5</v>
      </c>
      <c r="E83" s="20">
        <f>ROUND((B83/31.1034768)*D83, 2)</f>
        <v/>
      </c>
      <c r="F83" s="20">
        <f>ROUND((C83/31.1034768)*D83, 2)</f>
        <v/>
      </c>
      <c r="G83" s="21">
        <f>IFERROR((E83-E82)/E82, 0)</f>
        <v/>
      </c>
      <c r="H83" s="21">
        <f>IFERROR((F83-F82)/F82, 0)</f>
        <v/>
      </c>
    </row>
    <row r="84" ht="20" customHeight="1">
      <c r="A84" s="14" t="n">
        <v>45771</v>
      </c>
      <c r="B84" s="15" t="n">
        <v>3348.60009765625</v>
      </c>
      <c r="C84" s="15" t="n">
        <v>33.48199844360352</v>
      </c>
      <c r="D84" s="15" t="n">
        <v>4255.25</v>
      </c>
      <c r="E84" s="16">
        <f>ROUND((B84/31.1034768)*D84, 2)</f>
        <v/>
      </c>
      <c r="F84" s="16">
        <f>ROUND((C84/31.1034768)*D84, 2)</f>
        <v/>
      </c>
      <c r="G84" s="17">
        <f>IFERROR((E84-E83)/E83, 0)</f>
        <v/>
      </c>
      <c r="H84" s="17">
        <f>IFERROR((F84-F83)/F83, 0)</f>
        <v/>
      </c>
    </row>
    <row r="85" ht="20" customHeight="1">
      <c r="A85" s="18" t="n">
        <v>45772</v>
      </c>
      <c r="B85" s="19" t="n">
        <v>3298.39990234375</v>
      </c>
      <c r="C85" s="19" t="n">
        <v>32.98899841308594</v>
      </c>
      <c r="D85" s="19" t="n">
        <v>4255.25</v>
      </c>
      <c r="E85" s="20">
        <f>ROUND((B85/31.1034768)*D85, 2)</f>
        <v/>
      </c>
      <c r="F85" s="20">
        <f>ROUND((C85/31.1034768)*D85, 2)</f>
        <v/>
      </c>
      <c r="G85" s="21">
        <f>IFERROR((E85-E84)/E84, 0)</f>
        <v/>
      </c>
      <c r="H85" s="21">
        <f>IFERROR((F85-F84)/F84, 0)</f>
        <v/>
      </c>
    </row>
    <row r="86" ht="20" customHeight="1">
      <c r="A86" s="14" t="n">
        <v>45774</v>
      </c>
      <c r="B86" s="15" t="n">
        <v>3298.39990234375</v>
      </c>
      <c r="C86" s="15" t="n">
        <v>32.98899841308594</v>
      </c>
      <c r="D86" s="15" t="n">
        <v>4218.14990234375</v>
      </c>
      <c r="E86" s="16">
        <f>ROUND((B86/31.1034768)*D86, 2)</f>
        <v/>
      </c>
      <c r="F86" s="16">
        <f>ROUND((C86/31.1034768)*D86, 2)</f>
        <v/>
      </c>
      <c r="G86" s="17">
        <f>IFERROR((E86-E85)/E85, 0)</f>
        <v/>
      </c>
      <c r="H86" s="17">
        <f>IFERROR((F86-F85)/F85, 0)</f>
        <v/>
      </c>
    </row>
    <row r="87" ht="20" customHeight="1">
      <c r="A87" s="18" t="n">
        <v>45775</v>
      </c>
      <c r="B87" s="19" t="n">
        <v>3347.699951171875</v>
      </c>
      <c r="C87" s="19" t="n">
        <v>32.9900016784668</v>
      </c>
      <c r="D87" s="19" t="n">
        <v>4215.25</v>
      </c>
      <c r="E87" s="20">
        <f>ROUND((B87/31.1034768)*D87, 2)</f>
        <v/>
      </c>
      <c r="F87" s="20">
        <f>ROUND((C87/31.1034768)*D87, 2)</f>
        <v/>
      </c>
      <c r="G87" s="21">
        <f>IFERROR((E87-E86)/E86, 0)</f>
        <v/>
      </c>
      <c r="H87" s="21">
        <f>IFERROR((F87-F86)/F86, 0)</f>
        <v/>
      </c>
    </row>
    <row r="88" ht="20" customHeight="1">
      <c r="A88" s="14" t="n">
        <v>45776</v>
      </c>
      <c r="B88" s="15" t="n">
        <v>3333.60009765625</v>
      </c>
      <c r="C88" s="15" t="n">
        <v>33.27500152587891</v>
      </c>
      <c r="D88" s="15" t="n">
        <v>4195.25</v>
      </c>
      <c r="E88" s="16">
        <f>ROUND((B88/31.1034768)*D88, 2)</f>
        <v/>
      </c>
      <c r="F88" s="16">
        <f>ROUND((C88/31.1034768)*D88, 2)</f>
        <v/>
      </c>
      <c r="G88" s="17">
        <f>IFERROR((E88-E87)/E87, 0)</f>
        <v/>
      </c>
      <c r="H88" s="17">
        <f>IFERROR((F88-F87)/F87, 0)</f>
        <v/>
      </c>
    </row>
    <row r="89" ht="20" customHeight="1">
      <c r="A89" s="18" t="n">
        <v>45777</v>
      </c>
      <c r="B89" s="19" t="n">
        <v>3319.10009765625</v>
      </c>
      <c r="C89" s="19" t="n">
        <v>32.53099822998047</v>
      </c>
      <c r="D89" s="19" t="n">
        <v>4241.35009765625</v>
      </c>
      <c r="E89" s="20">
        <f>ROUND((B89/31.1034768)*D89, 2)</f>
        <v/>
      </c>
      <c r="F89" s="20">
        <f>ROUND((C89/31.1034768)*D89, 2)</f>
        <v/>
      </c>
      <c r="G89" s="21">
        <f>IFERROR((E89-E88)/E88, 0)</f>
        <v/>
      </c>
      <c r="H89" s="21">
        <f>IFERROR((F89-F88)/F88, 0)</f>
        <v/>
      </c>
    </row>
    <row r="90" ht="20" customHeight="1">
      <c r="A90" s="14" t="n">
        <v>45778</v>
      </c>
      <c r="B90" s="15" t="n">
        <v>3222.199951171875</v>
      </c>
      <c r="C90" s="15" t="n">
        <v>32.18899917602539</v>
      </c>
      <c r="D90" s="15" t="n">
        <v>4197.08984375</v>
      </c>
      <c r="E90" s="16">
        <f>ROUND((B90/31.1034768)*D90, 2)</f>
        <v/>
      </c>
      <c r="F90" s="16">
        <f>ROUND((C90/31.1034768)*D90, 2)</f>
        <v/>
      </c>
      <c r="G90" s="17">
        <f>IFERROR((E90-E89)/E89, 0)</f>
        <v/>
      </c>
      <c r="H90" s="17">
        <f>IFERROR((F90-F89)/F89, 0)</f>
        <v/>
      </c>
    </row>
    <row r="91" ht="20" customHeight="1">
      <c r="A91" s="18" t="n">
        <v>45779</v>
      </c>
      <c r="B91" s="19" t="n">
        <v>3243.300048828125</v>
      </c>
      <c r="C91" s="19" t="n">
        <v>31.98900032043457</v>
      </c>
      <c r="D91" s="19" t="n">
        <v>4197.08984375</v>
      </c>
      <c r="E91" s="20">
        <f>ROUND((B91/31.1034768)*D91, 2)</f>
        <v/>
      </c>
      <c r="F91" s="20">
        <f>ROUND((C91/31.1034768)*D91, 2)</f>
        <v/>
      </c>
      <c r="G91" s="21">
        <f>IFERROR((E91-E90)/E90, 0)</f>
        <v/>
      </c>
      <c r="H91" s="21">
        <f>IFERROR((F91-F90)/F90, 0)</f>
        <v/>
      </c>
    </row>
    <row r="92" ht="20" customHeight="1">
      <c r="A92" s="14" t="n">
        <v>45781</v>
      </c>
      <c r="B92" s="15" t="n">
        <v>3243.300048828125</v>
      </c>
      <c r="C92" s="15" t="n">
        <v>31.98900032043457</v>
      </c>
      <c r="D92" s="15" t="n">
        <v>4266.89990234375</v>
      </c>
      <c r="E92" s="16">
        <f>ROUND((B92/31.1034768)*D92, 2)</f>
        <v/>
      </c>
      <c r="F92" s="16">
        <f>ROUND((C92/31.1034768)*D92, 2)</f>
        <v/>
      </c>
      <c r="G92" s="17">
        <f>IFERROR((E92-E91)/E91, 0)</f>
        <v/>
      </c>
      <c r="H92" s="17">
        <f>IFERROR((F92-F91)/F91, 0)</f>
        <v/>
      </c>
    </row>
    <row r="93" ht="20" customHeight="1">
      <c r="A93" s="18" t="n">
        <v>45782</v>
      </c>
      <c r="B93" s="19" t="n">
        <v>3322.300048828125</v>
      </c>
      <c r="C93" s="19" t="n">
        <v>32.20500183105469</v>
      </c>
      <c r="D93" s="19" t="n">
        <v>4295</v>
      </c>
      <c r="E93" s="20">
        <f>ROUND((B93/31.1034768)*D93, 2)</f>
        <v/>
      </c>
      <c r="F93" s="20">
        <f>ROUND((C93/31.1034768)*D93, 2)</f>
        <v/>
      </c>
      <c r="G93" s="21">
        <f>IFERROR((E93-E92)/E92, 0)</f>
        <v/>
      </c>
      <c r="H93" s="21">
        <f>IFERROR((F93-F92)/F92, 0)</f>
        <v/>
      </c>
    </row>
    <row r="94" ht="20" customHeight="1">
      <c r="A94" s="14" t="n">
        <v>45783</v>
      </c>
      <c r="B94" s="15" t="n">
        <v>3422.800048828125</v>
      </c>
      <c r="C94" s="15" t="n">
        <v>33.11299896240234</v>
      </c>
      <c r="D94" s="15" t="n">
        <v>4300.85986328125</v>
      </c>
      <c r="E94" s="16">
        <f>ROUND((B94/31.1034768)*D94, 2)</f>
        <v/>
      </c>
      <c r="F94" s="16">
        <f>ROUND((C94/31.1034768)*D94, 2)</f>
        <v/>
      </c>
      <c r="G94" s="17">
        <f>IFERROR((E94-E93)/E93, 0)</f>
        <v/>
      </c>
      <c r="H94" s="17">
        <f>IFERROR((F94-F93)/F93, 0)</f>
        <v/>
      </c>
    </row>
    <row r="95" ht="20" customHeight="1">
      <c r="A95" s="18" t="n">
        <v>45784</v>
      </c>
      <c r="B95" s="19" t="n">
        <v>3391.89990234375</v>
      </c>
      <c r="C95" s="19" t="n">
        <v>32.53099822998047</v>
      </c>
      <c r="D95" s="19" t="n">
        <v>4297.14990234375</v>
      </c>
      <c r="E95" s="20">
        <f>ROUND((B95/31.1034768)*D95, 2)</f>
        <v/>
      </c>
      <c r="F95" s="20">
        <f>ROUND((C95/31.1034768)*D95, 2)</f>
        <v/>
      </c>
      <c r="G95" s="21">
        <f>IFERROR((E95-E94)/E94, 0)</f>
        <v/>
      </c>
      <c r="H95" s="21">
        <f>IFERROR((F95-F94)/F94, 0)</f>
        <v/>
      </c>
    </row>
    <row r="96" ht="20" customHeight="1">
      <c r="A96" s="14" t="n">
        <v>45785</v>
      </c>
      <c r="B96" s="15" t="n">
        <v>3306</v>
      </c>
      <c r="C96" s="15" t="n">
        <v>32.37799835205078</v>
      </c>
      <c r="D96" s="15" t="n">
        <v>4250.89990234375</v>
      </c>
      <c r="E96" s="16">
        <f>ROUND((B96/31.1034768)*D96, 2)</f>
        <v/>
      </c>
      <c r="F96" s="16">
        <f>ROUND((C96/31.1034768)*D96, 2)</f>
        <v/>
      </c>
      <c r="G96" s="17">
        <f>IFERROR((E96-E95)/E95, 0)</f>
        <v/>
      </c>
      <c r="H96" s="17">
        <f>IFERROR((F96-F95)/F95, 0)</f>
        <v/>
      </c>
    </row>
    <row r="97" ht="20" customHeight="1">
      <c r="A97" s="18" t="n">
        <v>45786</v>
      </c>
      <c r="B97" s="19" t="n">
        <v>3344</v>
      </c>
      <c r="C97" s="19" t="n">
        <v>32.67599868774414</v>
      </c>
      <c r="D97" s="19" t="n">
        <v>4250.89990234375</v>
      </c>
      <c r="E97" s="20">
        <f>ROUND((B97/31.1034768)*D97, 2)</f>
        <v/>
      </c>
      <c r="F97" s="20">
        <f>ROUND((C97/31.1034768)*D97, 2)</f>
        <v/>
      </c>
      <c r="G97" s="21">
        <f>IFERROR((E97-E96)/E96, 0)</f>
        <v/>
      </c>
      <c r="H97" s="21">
        <f>IFERROR((F97-F96)/F96, 0)</f>
        <v/>
      </c>
    </row>
    <row r="98" ht="20" customHeight="1">
      <c r="A98" s="14" t="n">
        <v>45788</v>
      </c>
      <c r="B98" s="15" t="n">
        <v>3344</v>
      </c>
      <c r="C98" s="15" t="n">
        <v>32.67599868774414</v>
      </c>
      <c r="D98" s="15" t="n">
        <v>4246.9501953125</v>
      </c>
      <c r="E98" s="16">
        <f>ROUND((B98/31.1034768)*D98, 2)</f>
        <v/>
      </c>
      <c r="F98" s="16">
        <f>ROUND((C98/31.1034768)*D98, 2)</f>
        <v/>
      </c>
      <c r="G98" s="17">
        <f>IFERROR((E98-E97)/E97, 0)</f>
        <v/>
      </c>
      <c r="H98" s="17">
        <f>IFERROR((F98-F97)/F97, 0)</f>
        <v/>
      </c>
    </row>
    <row r="99" ht="20" customHeight="1">
      <c r="A99" s="18" t="n">
        <v>45789</v>
      </c>
      <c r="B99" s="19" t="n">
        <v>3228</v>
      </c>
      <c r="C99" s="19" t="n">
        <v>32.38800048828125</v>
      </c>
      <c r="D99" s="19" t="n">
        <v>4223</v>
      </c>
      <c r="E99" s="20">
        <f>ROUND((B99/31.1034768)*D99, 2)</f>
        <v/>
      </c>
      <c r="F99" s="20">
        <f>ROUND((C99/31.1034768)*D99, 2)</f>
        <v/>
      </c>
      <c r="G99" s="21">
        <f>IFERROR((E99-E98)/E98, 0)</f>
        <v/>
      </c>
      <c r="H99" s="21">
        <f>IFERROR((F99-F98)/F98, 0)</f>
        <v/>
      </c>
    </row>
    <row r="100" ht="20" customHeight="1">
      <c r="A100" s="14" t="n">
        <v>45790</v>
      </c>
      <c r="B100" s="15" t="n">
        <v>3247.800048828125</v>
      </c>
      <c r="C100" s="15" t="n">
        <v>32.86800003051758</v>
      </c>
      <c r="D100" s="15" t="n">
        <v>4210</v>
      </c>
      <c r="E100" s="16">
        <f>ROUND((B100/31.1034768)*D100, 2)</f>
        <v/>
      </c>
      <c r="F100" s="16">
        <f>ROUND((C100/31.1034768)*D100, 2)</f>
        <v/>
      </c>
      <c r="G100" s="17">
        <f>IFERROR((E100-E99)/E99, 0)</f>
        <v/>
      </c>
      <c r="H100" s="17">
        <f>IFERROR((F100-F99)/F99, 0)</f>
        <v/>
      </c>
    </row>
    <row r="101" ht="20" customHeight="1">
      <c r="A101" s="18" t="n">
        <v>45791</v>
      </c>
      <c r="B101" s="19" t="n">
        <v>3188.300048828125</v>
      </c>
      <c r="C101" s="19" t="n">
        <v>32.22600173950195</v>
      </c>
      <c r="D101" s="19" t="n">
        <v>4205</v>
      </c>
      <c r="E101" s="20">
        <f>ROUND((B101/31.1034768)*D101, 2)</f>
        <v/>
      </c>
      <c r="F101" s="20">
        <f>ROUND((C101/31.1034768)*D101, 2)</f>
        <v/>
      </c>
      <c r="G101" s="21">
        <f>IFERROR((E101-E100)/E100, 0)</f>
        <v/>
      </c>
      <c r="H101" s="21">
        <f>IFERROR((F101-F100)/F100, 0)</f>
        <v/>
      </c>
    </row>
    <row r="102" ht="20" customHeight="1">
      <c r="A102" s="14" t="n">
        <v>45792</v>
      </c>
      <c r="B102" s="15" t="n">
        <v>3226.60009765625</v>
      </c>
      <c r="C102" s="15" t="n">
        <v>32.48099899291992</v>
      </c>
      <c r="D102" s="15" t="n">
        <v>4199.75</v>
      </c>
      <c r="E102" s="16">
        <f>ROUND((B102/31.1034768)*D102, 2)</f>
        <v/>
      </c>
      <c r="F102" s="16">
        <f>ROUND((C102/31.1034768)*D102, 2)</f>
        <v/>
      </c>
      <c r="G102" s="17">
        <f>IFERROR((E102-E101)/E101, 0)</f>
        <v/>
      </c>
      <c r="H102" s="17">
        <f>IFERROR((F102-F101)/F101, 0)</f>
        <v/>
      </c>
    </row>
    <row r="103" ht="20" customHeight="1">
      <c r="A103" s="18" t="n">
        <v>45793</v>
      </c>
      <c r="B103" s="19" t="n">
        <v>3187.199951171875</v>
      </c>
      <c r="C103" s="19" t="n">
        <v>32.15800094604492</v>
      </c>
      <c r="D103" s="19" t="n">
        <v>4199.75</v>
      </c>
      <c r="E103" s="20">
        <f>ROUND((B103/31.1034768)*D103, 2)</f>
        <v/>
      </c>
      <c r="F103" s="20">
        <f>ROUND((C103/31.1034768)*D103, 2)</f>
        <v/>
      </c>
      <c r="G103" s="21">
        <f>IFERROR((E103-E102)/E102, 0)</f>
        <v/>
      </c>
      <c r="H103" s="21">
        <f>IFERROR((F103-F102)/F102, 0)</f>
        <v/>
      </c>
    </row>
    <row r="104" ht="20" customHeight="1">
      <c r="A104" s="14" t="n">
        <v>45795</v>
      </c>
      <c r="B104" s="15" t="n">
        <v>3187.199951171875</v>
      </c>
      <c r="C104" s="15" t="n">
        <v>32.15800094604492</v>
      </c>
      <c r="D104" s="15" t="n">
        <v>4212.60986328125</v>
      </c>
      <c r="E104" s="16">
        <f>ROUND((B104/31.1034768)*D104, 2)</f>
        <v/>
      </c>
      <c r="F104" s="16">
        <f>ROUND((C104/31.1034768)*D104, 2)</f>
        <v/>
      </c>
      <c r="G104" s="17">
        <f>IFERROR((E104-E103)/E103, 0)</f>
        <v/>
      </c>
      <c r="H104" s="17">
        <f>IFERROR((F104-F103)/F103, 0)</f>
        <v/>
      </c>
    </row>
    <row r="105" ht="20" customHeight="1">
      <c r="A105" s="18" t="n">
        <v>45796</v>
      </c>
      <c r="B105" s="19" t="n">
        <v>3233.5</v>
      </c>
      <c r="C105" s="19" t="n">
        <v>32.3129997253418</v>
      </c>
      <c r="D105" s="19" t="n">
        <v>4168.25</v>
      </c>
      <c r="E105" s="20">
        <f>ROUND((B105/31.1034768)*D105, 2)</f>
        <v/>
      </c>
      <c r="F105" s="20">
        <f>ROUND((C105/31.1034768)*D105, 2)</f>
        <v/>
      </c>
      <c r="G105" s="21">
        <f>IFERROR((E105-E104)/E104, 0)</f>
        <v/>
      </c>
      <c r="H105" s="21">
        <f>IFERROR((F105-F104)/F104, 0)</f>
        <v/>
      </c>
    </row>
    <row r="106" ht="20" customHeight="1">
      <c r="A106" s="14" t="n">
        <v>45797</v>
      </c>
      <c r="B106" s="15" t="n">
        <v>3284.60009765625</v>
      </c>
      <c r="C106" s="15" t="n">
        <v>32.97999954223633</v>
      </c>
      <c r="D106" s="15" t="n">
        <v>4171.9501953125</v>
      </c>
      <c r="E106" s="16">
        <f>ROUND((B106/31.1034768)*D106, 2)</f>
        <v/>
      </c>
      <c r="F106" s="16">
        <f>ROUND((C106/31.1034768)*D106, 2)</f>
        <v/>
      </c>
      <c r="G106" s="17">
        <f>IFERROR((E106-E105)/E105, 0)</f>
        <v/>
      </c>
      <c r="H106" s="17">
        <f>IFERROR((F106-F105)/F105, 0)</f>
        <v/>
      </c>
    </row>
    <row r="107" ht="20" customHeight="1">
      <c r="A107" s="18" t="n">
        <v>45798</v>
      </c>
      <c r="B107" s="19" t="n">
        <v>3313.5</v>
      </c>
      <c r="C107" s="19" t="n">
        <v>33.4630012512207</v>
      </c>
      <c r="D107" s="19" t="n">
        <v>4171</v>
      </c>
      <c r="E107" s="20">
        <f>ROUND((B107/31.1034768)*D107, 2)</f>
        <v/>
      </c>
      <c r="F107" s="20">
        <f>ROUND((C107/31.1034768)*D107, 2)</f>
        <v/>
      </c>
      <c r="G107" s="21">
        <f>IFERROR((E107-E106)/E106, 0)</f>
        <v/>
      </c>
      <c r="H107" s="21">
        <f>IFERROR((F107-F106)/F106, 0)</f>
        <v/>
      </c>
    </row>
    <row r="108" ht="20" customHeight="1">
      <c r="A108" s="14" t="n">
        <v>45799</v>
      </c>
      <c r="B108" s="15" t="n">
        <v>3295</v>
      </c>
      <c r="C108" s="15" t="n">
        <v>33.04700088500977</v>
      </c>
      <c r="D108" s="15" t="n">
        <v>4174.64990234375</v>
      </c>
      <c r="E108" s="16">
        <f>ROUND((B108/31.1034768)*D108, 2)</f>
        <v/>
      </c>
      <c r="F108" s="16">
        <f>ROUND((C108/31.1034768)*D108, 2)</f>
        <v/>
      </c>
      <c r="G108" s="17">
        <f>IFERROR((E108-E107)/E107, 0)</f>
        <v/>
      </c>
      <c r="H108" s="17">
        <f>IFERROR((F108-F107)/F107, 0)</f>
        <v/>
      </c>
    </row>
    <row r="109" ht="20" customHeight="1">
      <c r="A109" s="18" t="n">
        <v>45800</v>
      </c>
      <c r="B109" s="19" t="n">
        <v>3365.800048828125</v>
      </c>
      <c r="C109" s="19" t="n">
        <v>33.44200134277344</v>
      </c>
      <c r="D109" s="19" t="n">
        <v>4174.64990234375</v>
      </c>
      <c r="E109" s="20">
        <f>ROUND((B109/31.1034768)*D109, 2)</f>
        <v/>
      </c>
      <c r="F109" s="20">
        <f>ROUND((C109/31.1034768)*D109, 2)</f>
        <v/>
      </c>
      <c r="G109" s="21">
        <f>IFERROR((E109-E108)/E108, 0)</f>
        <v/>
      </c>
      <c r="H109" s="21">
        <f>IFERROR((F109-F108)/F108, 0)</f>
        <v/>
      </c>
    </row>
    <row r="110" ht="20" customHeight="1">
      <c r="A110" s="14" t="n">
        <v>45802</v>
      </c>
      <c r="B110" s="15" t="n">
        <v>3365.800048828125</v>
      </c>
      <c r="C110" s="15" t="n">
        <v>33.44200134277344</v>
      </c>
      <c r="D110" s="15" t="n">
        <v>4156.81005859375</v>
      </c>
      <c r="E110" s="16">
        <f>ROUND((B110/31.1034768)*D110, 2)</f>
        <v/>
      </c>
      <c r="F110" s="16">
        <f>ROUND((C110/31.1034768)*D110, 2)</f>
        <v/>
      </c>
      <c r="G110" s="17">
        <f>IFERROR((E110-E109)/E109, 0)</f>
        <v/>
      </c>
      <c r="H110" s="17">
        <f>IFERROR((F110-F109)/F109, 0)</f>
        <v/>
      </c>
    </row>
    <row r="111" ht="20" customHeight="1">
      <c r="A111" s="18" t="n">
        <v>45803</v>
      </c>
      <c r="B111" s="19" t="n">
        <v>3365.800048828125</v>
      </c>
      <c r="C111" s="19" t="n">
        <v>33.44200134277344</v>
      </c>
      <c r="D111" s="19" t="n">
        <v>4150.25</v>
      </c>
      <c r="E111" s="20">
        <f>ROUND((B111/31.1034768)*D111, 2)</f>
        <v/>
      </c>
      <c r="F111" s="20">
        <f>ROUND((C111/31.1034768)*D111, 2)</f>
        <v/>
      </c>
      <c r="G111" s="21">
        <f>IFERROR((E111-E110)/E110, 0)</f>
        <v/>
      </c>
      <c r="H111" s="21">
        <f>IFERROR((F111-F110)/F110, 0)</f>
        <v/>
      </c>
    </row>
    <row r="112" ht="20" customHeight="1">
      <c r="A112" s="14" t="n">
        <v>45804</v>
      </c>
      <c r="B112" s="15" t="n">
        <v>3300.39990234375</v>
      </c>
      <c r="C112" s="15" t="n">
        <v>33.14599990844727</v>
      </c>
      <c r="D112" s="15" t="n">
        <v>4111.25</v>
      </c>
      <c r="E112" s="16">
        <f>ROUND((B112/31.1034768)*D112, 2)</f>
        <v/>
      </c>
      <c r="F112" s="16">
        <f>ROUND((C112/31.1034768)*D112, 2)</f>
        <v/>
      </c>
      <c r="G112" s="17">
        <f>IFERROR((E112-E111)/E111, 0)</f>
        <v/>
      </c>
      <c r="H112" s="17">
        <f>IFERROR((F112-F111)/F111, 0)</f>
        <v/>
      </c>
    </row>
    <row r="113" ht="20" customHeight="1">
      <c r="A113" s="18" t="n">
        <v>45805</v>
      </c>
      <c r="B113" s="19" t="n">
        <v>3294.89990234375</v>
      </c>
      <c r="C113" s="19" t="n">
        <v>33</v>
      </c>
      <c r="D113" s="19" t="n">
        <v>4123.47998046875</v>
      </c>
      <c r="E113" s="20">
        <f>ROUND((B113/31.1034768)*D113, 2)</f>
        <v/>
      </c>
      <c r="F113" s="20">
        <f>ROUND((C113/31.1034768)*D113, 2)</f>
        <v/>
      </c>
      <c r="G113" s="21">
        <f>IFERROR((E113-E112)/E112, 0)</f>
        <v/>
      </c>
      <c r="H113" s="21">
        <f>IFERROR((F113-F112)/F112, 0)</f>
        <v/>
      </c>
    </row>
    <row r="114" ht="20" customHeight="1">
      <c r="A114" s="14" t="n">
        <v>45806</v>
      </c>
      <c r="B114" s="15" t="n">
        <v>3317.10009765625</v>
      </c>
      <c r="C114" s="15" t="n">
        <v>33.28300094604492</v>
      </c>
      <c r="D114" s="15" t="n">
        <v>4128.75</v>
      </c>
      <c r="E114" s="16">
        <f>ROUND((B114/31.1034768)*D114, 2)</f>
        <v/>
      </c>
      <c r="F114" s="16">
        <f>ROUND((C114/31.1034768)*D114, 2)</f>
        <v/>
      </c>
      <c r="G114" s="17">
        <f>IFERROR((E114-E113)/E113, 0)</f>
        <v/>
      </c>
      <c r="H114" s="17">
        <f>IFERROR((F114-F113)/F113, 0)</f>
        <v/>
      </c>
    </row>
    <row r="115" ht="20" customHeight="1">
      <c r="A115" s="18" t="n">
        <v>45807</v>
      </c>
      <c r="B115" s="19" t="n">
        <v>3288.89990234375</v>
      </c>
      <c r="C115" s="19" t="n">
        <v>32.89199829101562</v>
      </c>
      <c r="D115" s="19" t="n">
        <v>4128.75</v>
      </c>
      <c r="E115" s="20">
        <f>ROUND((B115/31.1034768)*D115, 2)</f>
        <v/>
      </c>
      <c r="F115" s="20">
        <f>ROUND((C115/31.1034768)*D115, 2)</f>
        <v/>
      </c>
      <c r="G115" s="21">
        <f>IFERROR((E115-E114)/E114, 0)</f>
        <v/>
      </c>
      <c r="H115" s="21">
        <f>IFERROR((F115-F114)/F114, 0)</f>
        <v/>
      </c>
    </row>
    <row r="116" ht="20" customHeight="1">
      <c r="A116" s="14" t="n">
        <v>45809</v>
      </c>
      <c r="B116" s="15" t="n">
        <v>3288.89990234375</v>
      </c>
      <c r="C116" s="15" t="n">
        <v>32.89199829101562</v>
      </c>
      <c r="D116" s="15" t="n">
        <v>4068.934326171875</v>
      </c>
      <c r="E116" s="16">
        <f>ROUND((B116/31.1034768)*D116, 2)</f>
        <v/>
      </c>
      <c r="F116" s="16">
        <f>ROUND((C116/31.1034768)*D116, 2)</f>
        <v/>
      </c>
      <c r="G116" s="17">
        <f>IFERROR((E116-E115)/E115, 0)</f>
        <v/>
      </c>
      <c r="H116" s="17">
        <f>IFERROR((F116-F115)/F115, 0)</f>
        <v/>
      </c>
    </row>
    <row r="117" ht="20" customHeight="1">
      <c r="A117" s="18" t="n">
        <v>45810</v>
      </c>
      <c r="B117" s="19" t="n">
        <v>3397.199951171875</v>
      </c>
      <c r="C117" s="19" t="n">
        <v>34.5629997253418</v>
      </c>
      <c r="D117" s="19" t="n">
        <v>4130.27001953125</v>
      </c>
      <c r="E117" s="20">
        <f>ROUND((B117/31.1034768)*D117, 2)</f>
        <v/>
      </c>
      <c r="F117" s="20">
        <f>ROUND((C117/31.1034768)*D117, 2)</f>
        <v/>
      </c>
      <c r="G117" s="21">
        <f>IFERROR((E117-E116)/E116, 0)</f>
        <v/>
      </c>
      <c r="H117" s="21">
        <f>IFERROR((F117-F116)/F116, 0)</f>
        <v/>
      </c>
    </row>
    <row r="118" ht="20" customHeight="1">
      <c r="A118" s="14" t="n">
        <v>45811</v>
      </c>
      <c r="B118" s="15" t="n">
        <v>3377.10009765625</v>
      </c>
      <c r="C118" s="15" t="n">
        <v>34.50299835205078</v>
      </c>
      <c r="D118" s="15" t="n">
        <v>4124.1201171875</v>
      </c>
      <c r="E118" s="16">
        <f>ROUND((B118/31.1034768)*D118, 2)</f>
        <v/>
      </c>
      <c r="F118" s="16">
        <f>ROUND((C118/31.1034768)*D118, 2)</f>
        <v/>
      </c>
      <c r="G118" s="17">
        <f>IFERROR((E118-E117)/E117, 0)</f>
        <v/>
      </c>
      <c r="H118" s="17">
        <f>IFERROR((F118-F117)/F117, 0)</f>
        <v/>
      </c>
    </row>
    <row r="119" ht="20" customHeight="1">
      <c r="A119" s="18" t="n">
        <v>45812</v>
      </c>
      <c r="B119" s="19" t="n">
        <v>3399.199951171875</v>
      </c>
      <c r="C119" s="19" t="n">
        <v>34.51900100708008</v>
      </c>
      <c r="D119" s="19" t="n">
        <v>4106.919921875</v>
      </c>
      <c r="E119" s="20">
        <f>ROUND((B119/31.1034768)*D119, 2)</f>
        <v/>
      </c>
      <c r="F119" s="20">
        <f>ROUND((C119/31.1034768)*D119, 2)</f>
        <v/>
      </c>
      <c r="G119" s="21">
        <f>IFERROR((E119-E118)/E118, 0)</f>
        <v/>
      </c>
      <c r="H119" s="21">
        <f>IFERROR((F119-F118)/F118, 0)</f>
        <v/>
      </c>
    </row>
    <row r="120" ht="20" customHeight="1">
      <c r="A120" s="14" t="n">
        <v>45813</v>
      </c>
      <c r="B120" s="15" t="n">
        <v>3375.10009765625</v>
      </c>
      <c r="C120" s="15" t="n">
        <v>35.68899917602539</v>
      </c>
      <c r="D120" s="15" t="n">
        <v>4104.5</v>
      </c>
      <c r="E120" s="16">
        <f>ROUND((B120/31.1034768)*D120, 2)</f>
        <v/>
      </c>
      <c r="F120" s="16">
        <f>ROUND((C120/31.1034768)*D120, 2)</f>
        <v/>
      </c>
      <c r="G120" s="17">
        <f>IFERROR((E120-E119)/E119, 0)</f>
        <v/>
      </c>
      <c r="H120" s="17">
        <f>IFERROR((F120-F119)/F119, 0)</f>
        <v/>
      </c>
    </row>
    <row r="121" ht="20" customHeight="1">
      <c r="A121" s="18" t="n">
        <v>45814</v>
      </c>
      <c r="B121" s="19" t="n">
        <v>3346.60009765625</v>
      </c>
      <c r="C121" s="19" t="n">
        <v>36.02500152587891</v>
      </c>
      <c r="D121" s="19" t="n">
        <v>4104.5</v>
      </c>
      <c r="E121" s="20">
        <f>ROUND((B121/31.1034768)*D121, 2)</f>
        <v/>
      </c>
      <c r="F121" s="20">
        <f>ROUND((C121/31.1034768)*D121, 2)</f>
        <v/>
      </c>
      <c r="G121" s="21">
        <f>IFERROR((E121-E120)/E120, 0)</f>
        <v/>
      </c>
      <c r="H121" s="21">
        <f>IFERROR((F121-F120)/F120, 0)</f>
        <v/>
      </c>
    </row>
    <row r="122" ht="20" customHeight="1">
      <c r="A122" s="14" t="n">
        <v>45816</v>
      </c>
      <c r="B122" s="15" t="n">
        <v>3346.60009765625</v>
      </c>
      <c r="C122" s="15" t="n">
        <v>36.02500152587891</v>
      </c>
      <c r="D122" s="15" t="n">
        <v>4117.85986328125</v>
      </c>
      <c r="E122" s="16">
        <f>ROUND((B122/31.1034768)*D122, 2)</f>
        <v/>
      </c>
      <c r="F122" s="16">
        <f>ROUND((C122/31.1034768)*D122, 2)</f>
        <v/>
      </c>
      <c r="G122" s="17">
        <f>IFERROR((E122-E121)/E121, 0)</f>
        <v/>
      </c>
      <c r="H122" s="17">
        <f>IFERROR((F122-F121)/F121, 0)</f>
        <v/>
      </c>
    </row>
    <row r="123" ht="20" customHeight="1">
      <c r="A123" s="18" t="n">
        <v>45817</v>
      </c>
      <c r="B123" s="19" t="n">
        <v>3354.89990234375</v>
      </c>
      <c r="C123" s="19" t="n">
        <v>36.6879997253418</v>
      </c>
      <c r="D123" s="19" t="n">
        <v>4137.81005859375</v>
      </c>
      <c r="E123" s="20">
        <f>ROUND((B123/31.1034768)*D123, 2)</f>
        <v/>
      </c>
      <c r="F123" s="20">
        <f>ROUND((C123/31.1034768)*D123, 2)</f>
        <v/>
      </c>
      <c r="G123" s="21">
        <f>IFERROR((E123-E122)/E122, 0)</f>
        <v/>
      </c>
      <c r="H123" s="21">
        <f>IFERROR((F123-F122)/F122, 0)</f>
        <v/>
      </c>
    </row>
    <row r="124" ht="20" customHeight="1">
      <c r="A124" s="14" t="n">
        <v>45818</v>
      </c>
      <c r="B124" s="15" t="n">
        <v>3343.39990234375</v>
      </c>
      <c r="C124" s="15" t="n">
        <v>36.54199981689453</v>
      </c>
      <c r="D124" s="15" t="n">
        <v>4201.25</v>
      </c>
      <c r="E124" s="16">
        <f>ROUND((B124/31.1034768)*D124, 2)</f>
        <v/>
      </c>
      <c r="F124" s="16">
        <f>ROUND((C124/31.1034768)*D124, 2)</f>
        <v/>
      </c>
      <c r="G124" s="17">
        <f>IFERROR((E124-E123)/E123, 0)</f>
        <v/>
      </c>
      <c r="H124" s="17">
        <f>IFERROR((F124-F123)/F123, 0)</f>
        <v/>
      </c>
    </row>
    <row r="125" ht="20" customHeight="1">
      <c r="A125" s="18" t="n">
        <v>45819</v>
      </c>
      <c r="B125" s="19" t="n">
        <v>3343.699951171875</v>
      </c>
      <c r="C125" s="19" t="n">
        <v>36.16600036621094</v>
      </c>
      <c r="D125" s="19" t="n">
        <v>4176.75</v>
      </c>
      <c r="E125" s="20">
        <f>ROUND((B125/31.1034768)*D125, 2)</f>
        <v/>
      </c>
      <c r="F125" s="20">
        <f>ROUND((C125/31.1034768)*D125, 2)</f>
        <v/>
      </c>
      <c r="G125" s="21">
        <f>IFERROR((E125-E124)/E124, 0)</f>
        <v/>
      </c>
      <c r="H125" s="21">
        <f>IFERROR((F125-F124)/F124, 0)</f>
        <v/>
      </c>
    </row>
    <row r="126" ht="20" customHeight="1">
      <c r="A126" s="14" t="n">
        <v>45820</v>
      </c>
      <c r="B126" s="15" t="n">
        <v>3402.39990234375</v>
      </c>
      <c r="C126" s="15" t="n">
        <v>36.2130012512207</v>
      </c>
      <c r="D126" s="15" t="n">
        <v>4155.25</v>
      </c>
      <c r="E126" s="16">
        <f>ROUND((B126/31.1034768)*D126, 2)</f>
        <v/>
      </c>
      <c r="F126" s="16">
        <f>ROUND((C126/31.1034768)*D126, 2)</f>
        <v/>
      </c>
      <c r="G126" s="17">
        <f>IFERROR((E126-E125)/E125, 0)</f>
        <v/>
      </c>
      <c r="H126" s="17">
        <f>IFERROR((F126-F125)/F125, 0)</f>
        <v/>
      </c>
    </row>
    <row r="127" ht="20" customHeight="1">
      <c r="A127" s="18" t="n">
        <v>45821</v>
      </c>
      <c r="B127" s="19" t="n">
        <v>3452.800048828125</v>
      </c>
      <c r="C127" s="19" t="n">
        <v>36.28099822998047</v>
      </c>
      <c r="D127" s="19" t="n">
        <v>4155.25</v>
      </c>
      <c r="E127" s="20">
        <f>ROUND((B127/31.1034768)*D127, 2)</f>
        <v/>
      </c>
      <c r="F127" s="20">
        <f>ROUND((C127/31.1034768)*D127, 2)</f>
        <v/>
      </c>
      <c r="G127" s="21">
        <f>IFERROR((E127-E126)/E126, 0)</f>
        <v/>
      </c>
      <c r="H127" s="21">
        <f>IFERROR((F127-F126)/F126, 0)</f>
        <v/>
      </c>
    </row>
    <row r="128" ht="20" customHeight="1">
      <c r="A128" s="14" t="n">
        <v>45823</v>
      </c>
      <c r="B128" s="15" t="n">
        <v>3452.800048828125</v>
      </c>
      <c r="C128" s="15" t="n">
        <v>36.28099822998047</v>
      </c>
      <c r="D128" s="15" t="n">
        <v>4092.25048828125</v>
      </c>
      <c r="E128" s="16">
        <f>ROUND((B128/31.1034768)*D128, 2)</f>
        <v/>
      </c>
      <c r="F128" s="16">
        <f>ROUND((C128/31.1034768)*D128, 2)</f>
        <v/>
      </c>
      <c r="G128" s="17">
        <f>IFERROR((E128-E127)/E127, 0)</f>
        <v/>
      </c>
      <c r="H128" s="17">
        <f>IFERROR((F128-F127)/F127, 0)</f>
        <v/>
      </c>
    </row>
    <row r="129" ht="20" customHeight="1">
      <c r="A129" s="18" t="n">
        <v>45824</v>
      </c>
      <c r="B129" s="19" t="n">
        <v>3417.300048828125</v>
      </c>
      <c r="C129" s="19" t="n">
        <v>36.37900161743164</v>
      </c>
      <c r="D129" s="19" t="n">
        <v>4098.75</v>
      </c>
      <c r="E129" s="20">
        <f>ROUND((B129/31.1034768)*D129, 2)</f>
        <v/>
      </c>
      <c r="F129" s="20">
        <f>ROUND((C129/31.1034768)*D129, 2)</f>
        <v/>
      </c>
      <c r="G129" s="21">
        <f>IFERROR((E129-E128)/E128, 0)</f>
        <v/>
      </c>
      <c r="H129" s="21">
        <f>IFERROR((F129-F128)/F128, 0)</f>
        <v/>
      </c>
    </row>
    <row r="130" ht="20" customHeight="1">
      <c r="A130" s="14" t="n">
        <v>45825</v>
      </c>
      <c r="B130" s="15" t="n">
        <v>3406.89990234375</v>
      </c>
      <c r="C130" s="15" t="n">
        <v>37.09000015258789</v>
      </c>
      <c r="D130" s="15" t="n">
        <v>4100.25</v>
      </c>
      <c r="E130" s="16">
        <f>ROUND((B130/31.1034768)*D130, 2)</f>
        <v/>
      </c>
      <c r="F130" s="16">
        <f>ROUND((C130/31.1034768)*D130, 2)</f>
        <v/>
      </c>
      <c r="G130" s="17">
        <f>IFERROR((E130-E129)/E129, 0)</f>
        <v/>
      </c>
      <c r="H130" s="17">
        <f>IFERROR((F130-F129)/F129, 0)</f>
        <v/>
      </c>
    </row>
    <row r="131" ht="20" customHeight="1">
      <c r="A131" s="18" t="n">
        <v>45826</v>
      </c>
      <c r="B131" s="19" t="n">
        <v>3408.10009765625</v>
      </c>
      <c r="C131" s="19" t="n">
        <v>36.86600112915039</v>
      </c>
      <c r="D131" s="19" t="n">
        <v>4068.469970703125</v>
      </c>
      <c r="E131" s="20">
        <f>ROUND((B131/31.1034768)*D131, 2)</f>
        <v/>
      </c>
      <c r="F131" s="20">
        <f>ROUND((C131/31.1034768)*D131, 2)</f>
        <v/>
      </c>
      <c r="G131" s="21">
        <f>IFERROR((E131-E130)/E130, 0)</f>
        <v/>
      </c>
      <c r="H131" s="21">
        <f>IFERROR((F131-F130)/F130, 0)</f>
        <v/>
      </c>
    </row>
    <row r="132" ht="20" customHeight="1">
      <c r="A132" s="14" t="n">
        <v>45827</v>
      </c>
      <c r="B132" s="15" t="n">
        <v>3408.10009765625</v>
      </c>
      <c r="C132" s="15" t="n">
        <v>36.86600112915039</v>
      </c>
      <c r="D132" s="15" t="n">
        <v>4082</v>
      </c>
      <c r="E132" s="16">
        <f>ROUND((B132/31.1034768)*D132, 2)</f>
        <v/>
      </c>
      <c r="F132" s="16">
        <f>ROUND((C132/31.1034768)*D132, 2)</f>
        <v/>
      </c>
      <c r="G132" s="17">
        <f>IFERROR((E132-E131)/E131, 0)</f>
        <v/>
      </c>
      <c r="H132" s="17">
        <f>IFERROR((F132-F131)/F131, 0)</f>
        <v/>
      </c>
    </row>
    <row r="133" ht="20" customHeight="1">
      <c r="A133" s="18" t="n">
        <v>45828</v>
      </c>
      <c r="B133" s="19" t="n">
        <v>3385.699951171875</v>
      </c>
      <c r="C133" s="19" t="n">
        <v>35.97600173950195</v>
      </c>
      <c r="D133" s="19" t="n">
        <v>4082</v>
      </c>
      <c r="E133" s="20">
        <f>ROUND((B133/31.1034768)*D133, 2)</f>
        <v/>
      </c>
      <c r="F133" s="20">
        <f>ROUND((C133/31.1034768)*D133, 2)</f>
        <v/>
      </c>
      <c r="G133" s="21">
        <f>IFERROR((E133-E132)/E132, 0)</f>
        <v/>
      </c>
      <c r="H133" s="21">
        <f>IFERROR((F133-F132)/F132, 0)</f>
        <v/>
      </c>
    </row>
    <row r="134" ht="20" customHeight="1">
      <c r="A134" s="14" t="n">
        <v>45830</v>
      </c>
      <c r="B134" s="15" t="n">
        <v>3385.699951171875</v>
      </c>
      <c r="C134" s="15" t="n">
        <v>35.97600173950195</v>
      </c>
      <c r="D134" s="15" t="n">
        <v>4080.919921875</v>
      </c>
      <c r="E134" s="16">
        <f>ROUND((B134/31.1034768)*D134, 2)</f>
        <v/>
      </c>
      <c r="F134" s="16">
        <f>ROUND((C134/31.1034768)*D134, 2)</f>
        <v/>
      </c>
      <c r="G134" s="17">
        <f>IFERROR((E134-E133)/E133, 0)</f>
        <v/>
      </c>
      <c r="H134" s="17">
        <f>IFERROR((F134-F133)/F133, 0)</f>
        <v/>
      </c>
    </row>
    <row r="135" ht="20" customHeight="1">
      <c r="A135" s="18" t="n">
        <v>45831</v>
      </c>
      <c r="B135" s="19" t="n">
        <v>3395</v>
      </c>
      <c r="C135" s="19" t="n">
        <v>36.15299987792969</v>
      </c>
      <c r="D135" s="19" t="n">
        <v>4082.25</v>
      </c>
      <c r="E135" s="20">
        <f>ROUND((B135/31.1034768)*D135, 2)</f>
        <v/>
      </c>
      <c r="F135" s="20">
        <f>ROUND((C135/31.1034768)*D135, 2)</f>
        <v/>
      </c>
      <c r="G135" s="21">
        <f>IFERROR((E135-E134)/E134, 0)</f>
        <v/>
      </c>
      <c r="H135" s="21">
        <f>IFERROR((F135-F134)/F134, 0)</f>
        <v/>
      </c>
    </row>
    <row r="136" ht="20" customHeight="1">
      <c r="A136" s="14" t="n">
        <v>45832</v>
      </c>
      <c r="B136" s="15" t="n">
        <v>3333.89990234375</v>
      </c>
      <c r="C136" s="15" t="n">
        <v>35.70100021362305</v>
      </c>
      <c r="D136" s="15" t="n">
        <v>4076.550048828125</v>
      </c>
      <c r="E136" s="16">
        <f>ROUND((B136/31.1034768)*D136, 2)</f>
        <v/>
      </c>
      <c r="F136" s="16">
        <f>ROUND((C136/31.1034768)*D136, 2)</f>
        <v/>
      </c>
      <c r="G136" s="17">
        <f>IFERROR((E136-E135)/E135, 0)</f>
        <v/>
      </c>
      <c r="H136" s="17">
        <f>IFERROR((F136-F135)/F135, 0)</f>
        <v/>
      </c>
    </row>
    <row r="137" ht="20" customHeight="1">
      <c r="A137" s="18" t="n">
        <v>45833</v>
      </c>
      <c r="B137" s="19" t="n">
        <v>3343.10009765625</v>
      </c>
      <c r="C137" s="19" t="n">
        <v>36.08499908447266</v>
      </c>
      <c r="D137" s="19" t="n">
        <v>4056.18994140625</v>
      </c>
      <c r="E137" s="20">
        <f>ROUND((B137/31.1034768)*D137, 2)</f>
        <v/>
      </c>
      <c r="F137" s="20">
        <f>ROUND((C137/31.1034768)*D137, 2)</f>
        <v/>
      </c>
      <c r="G137" s="21">
        <f>IFERROR((E137-E136)/E136, 0)</f>
        <v/>
      </c>
      <c r="H137" s="21">
        <f>IFERROR((F137-F136)/F136, 0)</f>
        <v/>
      </c>
    </row>
    <row r="138" ht="20" customHeight="1">
      <c r="A138" s="14" t="n">
        <v>45834</v>
      </c>
      <c r="B138" s="15" t="n">
        <v>3348</v>
      </c>
      <c r="C138" s="15" t="n">
        <v>36.58599853515625</v>
      </c>
      <c r="D138" s="15" t="n">
        <v>4037.25</v>
      </c>
      <c r="E138" s="16">
        <f>ROUND((B138/31.1034768)*D138, 2)</f>
        <v/>
      </c>
      <c r="F138" s="16">
        <f>ROUND((C138/31.1034768)*D138, 2)</f>
        <v/>
      </c>
      <c r="G138" s="17">
        <f>IFERROR((E138-E137)/E137, 0)</f>
        <v/>
      </c>
      <c r="H138" s="17">
        <f>IFERROR((F138-F137)/F137, 0)</f>
        <v/>
      </c>
    </row>
    <row r="139" ht="20" customHeight="1">
      <c r="A139" s="18" t="n">
        <v>45835</v>
      </c>
      <c r="B139" s="19" t="n">
        <v>3287.60009765625</v>
      </c>
      <c r="C139" s="19" t="n">
        <v>36.0369987487793</v>
      </c>
      <c r="D139" s="19" t="n">
        <v>4037.25</v>
      </c>
      <c r="E139" s="20">
        <f>ROUND((B139/31.1034768)*D139, 2)</f>
        <v/>
      </c>
      <c r="F139" s="20">
        <f>ROUND((C139/31.1034768)*D139, 2)</f>
        <v/>
      </c>
      <c r="G139" s="21">
        <f>IFERROR((E139-E138)/E138, 0)</f>
        <v/>
      </c>
      <c r="H139" s="21">
        <f>IFERROR((F139-F138)/F138, 0)</f>
        <v/>
      </c>
    </row>
    <row r="140" ht="20" customHeight="1">
      <c r="A140" s="14" t="n">
        <v>45837</v>
      </c>
      <c r="B140" s="15" t="n">
        <v>3287.60009765625</v>
      </c>
      <c r="C140" s="15" t="n">
        <v>36.0369987487793</v>
      </c>
      <c r="D140" s="15" t="n">
        <v>4035.43994140625</v>
      </c>
      <c r="E140" s="16">
        <f>ROUND((B140/31.1034768)*D140, 2)</f>
        <v/>
      </c>
      <c r="F140" s="16">
        <f>ROUND((C140/31.1034768)*D140, 2)</f>
        <v/>
      </c>
      <c r="G140" s="17">
        <f>IFERROR((E140-E139)/E139, 0)</f>
        <v/>
      </c>
      <c r="H140" s="17">
        <f>IFERROR((F140-F139)/F139, 0)</f>
        <v/>
      </c>
    </row>
    <row r="141" ht="20" customHeight="1">
      <c r="A141" s="18" t="n">
        <v>45838</v>
      </c>
      <c r="B141" s="19" t="n">
        <v>3307.699951171875</v>
      </c>
      <c r="C141" s="19" t="n">
        <v>35.85200119018555</v>
      </c>
      <c r="D141" s="19" t="n">
        <v>4087.75</v>
      </c>
      <c r="E141" s="20">
        <f>ROUND((B141/31.1034768)*D141, 2)</f>
        <v/>
      </c>
      <c r="F141" s="20">
        <f>ROUND((C141/31.1034768)*D141, 2)</f>
        <v/>
      </c>
      <c r="G141" s="21">
        <f>IFERROR((E141-E140)/E140, 0)</f>
        <v/>
      </c>
      <c r="H141" s="21">
        <f>IFERROR((F141-F140)/F140, 0)</f>
        <v/>
      </c>
    </row>
    <row r="142" ht="20" customHeight="1">
      <c r="A142" s="14" t="n">
        <v>45839</v>
      </c>
      <c r="B142" s="15" t="n">
        <v>3349.800048828125</v>
      </c>
      <c r="C142" s="15" t="n">
        <v>36.08200073242188</v>
      </c>
      <c r="D142" s="15" t="n">
        <v>4028.280029296875</v>
      </c>
      <c r="E142" s="16">
        <f>ROUND((B142/31.1034768)*D142, 2)</f>
        <v/>
      </c>
      <c r="F142" s="16">
        <f>ROUND((C142/31.1034768)*D142, 2)</f>
        <v/>
      </c>
      <c r="G142" s="17">
        <f>IFERROR((E142-E141)/E141, 0)</f>
        <v/>
      </c>
      <c r="H142" s="17">
        <f>IFERROR((F142-F141)/F141, 0)</f>
        <v/>
      </c>
    </row>
    <row r="143" ht="20" customHeight="1">
      <c r="A143" s="18" t="n">
        <v>45840</v>
      </c>
      <c r="B143" s="19" t="n">
        <v>3359.699951171875</v>
      </c>
      <c r="C143" s="19" t="n">
        <v>36.42599868774414</v>
      </c>
      <c r="D143" s="19" t="n">
        <v>3989</v>
      </c>
      <c r="E143" s="20">
        <f>ROUND((B143/31.1034768)*D143, 2)</f>
        <v/>
      </c>
      <c r="F143" s="20">
        <f>ROUND((C143/31.1034768)*D143, 2)</f>
        <v/>
      </c>
      <c r="G143" s="21">
        <f>IFERROR((E143-E142)/E142, 0)</f>
        <v/>
      </c>
      <c r="H143" s="21">
        <f>IFERROR((F143-F142)/F142, 0)</f>
        <v/>
      </c>
    </row>
    <row r="144" ht="20" customHeight="1">
      <c r="A144" s="14" t="n">
        <v>45841</v>
      </c>
      <c r="B144" s="15" t="n">
        <v>3342.89990234375</v>
      </c>
      <c r="C144" s="15" t="n">
        <v>36.78400039672852</v>
      </c>
      <c r="D144" s="15" t="n">
        <v>3988.25</v>
      </c>
      <c r="E144" s="16">
        <f>ROUND((B144/31.1034768)*D144, 2)</f>
        <v/>
      </c>
      <c r="F144" s="16">
        <f>ROUND((C144/31.1034768)*D144, 2)</f>
        <v/>
      </c>
      <c r="G144" s="17">
        <f>IFERROR((E144-E143)/E143, 0)</f>
        <v/>
      </c>
      <c r="H144" s="17">
        <f>IFERROR((F144-F143)/F143, 0)</f>
        <v/>
      </c>
    </row>
    <row r="145" ht="20" customHeight="1">
      <c r="A145" s="18" t="n">
        <v>45842</v>
      </c>
      <c r="B145" s="19" t="n">
        <v>3346.5</v>
      </c>
      <c r="C145" s="19" t="n">
        <v>36.77500152587891</v>
      </c>
      <c r="D145" s="19" t="n">
        <v>3988.25</v>
      </c>
      <c r="E145" s="20">
        <f>ROUND((B145/31.1034768)*D145, 2)</f>
        <v/>
      </c>
      <c r="F145" s="20">
        <f>ROUND((C145/31.1034768)*D145, 2)</f>
        <v/>
      </c>
      <c r="G145" s="21">
        <f>IFERROR((E145-E144)/E144, 0)</f>
        <v/>
      </c>
      <c r="H145" s="21">
        <f>IFERROR((F145-F144)/F144, 0)</f>
        <v/>
      </c>
    </row>
    <row r="146" ht="20" customHeight="1">
      <c r="A146" s="14" t="n">
        <v>45844</v>
      </c>
      <c r="B146" s="15" t="n">
        <v>3346.5</v>
      </c>
      <c r="C146" s="15" t="n">
        <v>36.77500152587891</v>
      </c>
      <c r="D146" s="15" t="n">
        <v>3999.89990234375</v>
      </c>
      <c r="E146" s="16">
        <f>ROUND((B146/31.1034768)*D146, 2)</f>
        <v/>
      </c>
      <c r="F146" s="16">
        <f>ROUND((C146/31.1034768)*D146, 2)</f>
        <v/>
      </c>
      <c r="G146" s="17">
        <f>IFERROR((E146-E145)/E145, 0)</f>
        <v/>
      </c>
      <c r="H146" s="17">
        <f>IFERROR((F146-F145)/F145, 0)</f>
        <v/>
      </c>
    </row>
    <row r="147" ht="20" customHeight="1">
      <c r="A147" s="18" t="n">
        <v>45845</v>
      </c>
      <c r="B147" s="19" t="n">
        <v>3342.800048828125</v>
      </c>
      <c r="C147" s="19" t="n">
        <v>36.6150016784668</v>
      </c>
      <c r="D147" s="19" t="n">
        <v>4030.35009765625</v>
      </c>
      <c r="E147" s="20">
        <f>ROUND((B147/31.1034768)*D147, 2)</f>
        <v/>
      </c>
      <c r="F147" s="20">
        <f>ROUND((C147/31.1034768)*D147, 2)</f>
        <v/>
      </c>
      <c r="G147" s="21">
        <f>IFERROR((E147-E146)/E146, 0)</f>
        <v/>
      </c>
      <c r="H147" s="21">
        <f>IFERROR((F147-F146)/F146, 0)</f>
        <v/>
      </c>
    </row>
    <row r="148" ht="20" customHeight="1">
      <c r="A148" s="14" t="n">
        <v>45846</v>
      </c>
      <c r="B148" s="15" t="n">
        <v>3316.89990234375</v>
      </c>
      <c r="C148" s="15" t="n">
        <v>36.47200012207031</v>
      </c>
      <c r="D148" s="15" t="n">
        <v>4049.8798828125</v>
      </c>
      <c r="E148" s="16">
        <f>ROUND((B148/31.1034768)*D148, 2)</f>
        <v/>
      </c>
      <c r="F148" s="16">
        <f>ROUND((C148/31.1034768)*D148, 2)</f>
        <v/>
      </c>
      <c r="G148" s="17">
        <f>IFERROR((E148-E147)/E147, 0)</f>
        <v/>
      </c>
      <c r="H148" s="17">
        <f>IFERROR((F148-F147)/F147, 0)</f>
        <v/>
      </c>
    </row>
    <row r="149" ht="20" customHeight="1">
      <c r="A149" s="18" t="n">
        <v>45847</v>
      </c>
      <c r="B149" s="19" t="n">
        <v>3321</v>
      </c>
      <c r="C149" s="19" t="n">
        <v>36.35100173950195</v>
      </c>
      <c r="D149" s="19" t="n">
        <v>4021.5</v>
      </c>
      <c r="E149" s="20">
        <f>ROUND((B149/31.1034768)*D149, 2)</f>
        <v/>
      </c>
      <c r="F149" s="20">
        <f>ROUND((C149/31.1034768)*D149, 2)</f>
        <v/>
      </c>
      <c r="G149" s="21">
        <f>IFERROR((E149-E148)/E148, 0)</f>
        <v/>
      </c>
      <c r="H149" s="21">
        <f>IFERROR((F149-F148)/F148, 0)</f>
        <v/>
      </c>
    </row>
    <row r="150" ht="20" customHeight="1">
      <c r="A150" s="14" t="n">
        <v>45848</v>
      </c>
      <c r="B150" s="15" t="n">
        <v>3325.699951171875</v>
      </c>
      <c r="C150" s="15" t="n">
        <v>37.03799819946289</v>
      </c>
      <c r="D150" s="15" t="n">
        <v>4013.949951171875</v>
      </c>
      <c r="E150" s="16">
        <f>ROUND((B150/31.1034768)*D150, 2)</f>
        <v/>
      </c>
      <c r="F150" s="16">
        <f>ROUND((C150/31.1034768)*D150, 2)</f>
        <v/>
      </c>
      <c r="G150" s="17">
        <f>IFERROR((E150-E149)/E149, 0)</f>
        <v/>
      </c>
      <c r="H150" s="17">
        <f>IFERROR((F150-F149)/F149, 0)</f>
        <v/>
      </c>
    </row>
    <row r="151" ht="20" customHeight="1">
      <c r="A151" s="18" t="n">
        <v>45849</v>
      </c>
      <c r="B151" s="19" t="n">
        <v>3364</v>
      </c>
      <c r="C151" s="19" t="n">
        <v>38.67599868774414</v>
      </c>
      <c r="D151" s="19" t="n">
        <v>4013.949951171875</v>
      </c>
      <c r="E151" s="20">
        <f>ROUND((B151/31.1034768)*D151, 2)</f>
        <v/>
      </c>
      <c r="F151" s="20">
        <f>ROUND((C151/31.1034768)*D151, 2)</f>
        <v/>
      </c>
      <c r="G151" s="21">
        <f>IFERROR((E151-E150)/E150, 0)</f>
        <v/>
      </c>
      <c r="H151" s="21">
        <f>IFERROR((F151-F150)/F150, 0)</f>
        <v/>
      </c>
    </row>
    <row r="152" ht="20" customHeight="1">
      <c r="A152" s="14" t="n">
        <v>45851</v>
      </c>
      <c r="B152" s="15" t="n">
        <v>3364</v>
      </c>
      <c r="C152" s="15" t="n">
        <v>38.67599868774414</v>
      </c>
      <c r="D152" s="15" t="n">
        <v>4011.669921875</v>
      </c>
      <c r="E152" s="16">
        <f>ROUND((B152/31.1034768)*D152, 2)</f>
        <v/>
      </c>
      <c r="F152" s="16">
        <f>ROUND((C152/31.1034768)*D152, 2)</f>
        <v/>
      </c>
      <c r="G152" s="17">
        <f>IFERROR((E152-E151)/E151, 0)</f>
        <v/>
      </c>
      <c r="H152" s="17">
        <f>IFERROR((F152-F151)/F151, 0)</f>
        <v/>
      </c>
    </row>
    <row r="153" ht="20" customHeight="1">
      <c r="A153" s="18" t="n">
        <v>45852</v>
      </c>
      <c r="B153" s="19" t="n">
        <v>3359.10009765625</v>
      </c>
      <c r="C153" s="19" t="n">
        <v>38.46200180053711</v>
      </c>
      <c r="D153" s="19" t="n">
        <v>4008.75</v>
      </c>
      <c r="E153" s="20">
        <f>ROUND((B153/31.1034768)*D153, 2)</f>
        <v/>
      </c>
      <c r="F153" s="20">
        <f>ROUND((C153/31.1034768)*D153, 2)</f>
        <v/>
      </c>
      <c r="G153" s="21">
        <f>IFERROR((E153-E152)/E152, 0)</f>
        <v/>
      </c>
      <c r="H153" s="21">
        <f>IFERROR((F153-F152)/F152, 0)</f>
        <v/>
      </c>
    </row>
    <row r="154" ht="20" customHeight="1">
      <c r="A154" s="14" t="n">
        <v>45853</v>
      </c>
      <c r="B154" s="15" t="n">
        <v>3336.699951171875</v>
      </c>
      <c r="C154" s="15" t="n">
        <v>37.83399963378906</v>
      </c>
      <c r="D154" s="15" t="n">
        <v>4033.75</v>
      </c>
      <c r="E154" s="16">
        <f>ROUND((B154/31.1034768)*D154, 2)</f>
        <v/>
      </c>
      <c r="F154" s="16">
        <f>ROUND((C154/31.1034768)*D154, 2)</f>
        <v/>
      </c>
      <c r="G154" s="17">
        <f>IFERROR((E154-E153)/E153, 0)</f>
        <v/>
      </c>
      <c r="H154" s="17">
        <f>IFERROR((F154-F153)/F153, 0)</f>
        <v/>
      </c>
    </row>
    <row r="155" ht="20" customHeight="1">
      <c r="A155" s="18" t="n">
        <v>45854</v>
      </c>
      <c r="B155" s="19" t="n">
        <v>3359.10009765625</v>
      </c>
      <c r="C155" s="19" t="n">
        <v>37.85300064086914</v>
      </c>
      <c r="D155" s="19" t="n">
        <v>4012.8798828125</v>
      </c>
      <c r="E155" s="20">
        <f>ROUND((B155/31.1034768)*D155, 2)</f>
        <v/>
      </c>
      <c r="F155" s="20">
        <f>ROUND((C155/31.1034768)*D155, 2)</f>
        <v/>
      </c>
      <c r="G155" s="21">
        <f>IFERROR((E155-E154)/E154, 0)</f>
        <v/>
      </c>
      <c r="H155" s="21">
        <f>IFERROR((F155-F154)/F154, 0)</f>
        <v/>
      </c>
    </row>
    <row r="156" ht="20" customHeight="1">
      <c r="A156" s="14" t="n">
        <v>45855</v>
      </c>
      <c r="B156" s="15" t="n">
        <v>3345.300048828125</v>
      </c>
      <c r="C156" s="15" t="n">
        <v>38.05599975585938</v>
      </c>
      <c r="D156" s="15" t="n">
        <v>4020.409912109375</v>
      </c>
      <c r="E156" s="16">
        <f>ROUND((B156/31.1034768)*D156, 2)</f>
        <v/>
      </c>
      <c r="F156" s="16">
        <f>ROUND((C156/31.1034768)*D156, 2)</f>
        <v/>
      </c>
      <c r="G156" s="17">
        <f>IFERROR((E156-E155)/E155, 0)</f>
        <v/>
      </c>
      <c r="H156" s="17">
        <f>IFERROR((F156-F155)/F155, 0)</f>
        <v/>
      </c>
    </row>
    <row r="157" ht="20" customHeight="1">
      <c r="A157" s="18" t="n">
        <v>45856</v>
      </c>
      <c r="B157" s="19" t="n">
        <v>3358.300048828125</v>
      </c>
      <c r="C157" s="19" t="n">
        <v>38.22299957275391</v>
      </c>
      <c r="D157" s="19" t="n">
        <v>4020.409912109375</v>
      </c>
      <c r="E157" s="20">
        <f>ROUND((B157/31.1034768)*D157, 2)</f>
        <v/>
      </c>
      <c r="F157" s="20">
        <f>ROUND((C157/31.1034768)*D157, 2)</f>
        <v/>
      </c>
      <c r="G157" s="21">
        <f>IFERROR((E157-E156)/E156, 0)</f>
        <v/>
      </c>
      <c r="H157" s="21">
        <f>IFERROR((F157-F156)/F156, 0)</f>
        <v/>
      </c>
    </row>
    <row r="158" ht="20" customHeight="1">
      <c r="A158" s="14" t="n">
        <v>45858</v>
      </c>
      <c r="B158" s="15" t="n">
        <v>3358.300048828125</v>
      </c>
      <c r="C158" s="15" t="n">
        <v>38.22299957275391</v>
      </c>
      <c r="D158" s="15" t="n">
        <v>4020.010009765625</v>
      </c>
      <c r="E158" s="16">
        <f>ROUND((B158/31.1034768)*D158, 2)</f>
        <v/>
      </c>
      <c r="F158" s="16">
        <f>ROUND((C158/31.1034768)*D158, 2)</f>
        <v/>
      </c>
      <c r="G158" s="17">
        <f>IFERROR((E158-E157)/E157, 0)</f>
        <v/>
      </c>
      <c r="H158" s="17">
        <f>IFERROR((F158-F157)/F157, 0)</f>
        <v/>
      </c>
    </row>
    <row r="159" ht="20" customHeight="1">
      <c r="A159" s="18" t="n">
        <v>45859</v>
      </c>
      <c r="B159" s="19" t="n">
        <v>3406.39990234375</v>
      </c>
      <c r="C159" s="19" t="n">
        <v>39.10100173950195</v>
      </c>
      <c r="D159" s="19" t="n">
        <v>4033.590087890625</v>
      </c>
      <c r="E159" s="20">
        <f>ROUND((B159/31.1034768)*D159, 2)</f>
        <v/>
      </c>
      <c r="F159" s="20">
        <f>ROUND((C159/31.1034768)*D159, 2)</f>
        <v/>
      </c>
      <c r="G159" s="21">
        <f>IFERROR((E159-E158)/E158, 0)</f>
        <v/>
      </c>
      <c r="H159" s="21">
        <f>IFERROR((F159-F158)/F158, 0)</f>
        <v/>
      </c>
    </row>
    <row r="160" ht="20" customHeight="1">
      <c r="A160" s="14" t="n">
        <v>45860</v>
      </c>
      <c r="B160" s="15" t="n">
        <v>3443.699951171875</v>
      </c>
      <c r="C160" s="15" t="n">
        <v>39.31999969482422</v>
      </c>
      <c r="D160" s="15" t="n">
        <v>4070.81005859375</v>
      </c>
      <c r="E160" s="16">
        <f>ROUND((B160/31.1034768)*D160, 2)</f>
        <v/>
      </c>
      <c r="F160" s="16">
        <f>ROUND((C160/31.1034768)*D160, 2)</f>
        <v/>
      </c>
      <c r="G160" s="17">
        <f>IFERROR((E160-E159)/E159, 0)</f>
        <v/>
      </c>
      <c r="H160" s="17">
        <f>IFERROR((F160-F159)/F159, 0)</f>
        <v/>
      </c>
    </row>
    <row r="161" ht="20" customHeight="1">
      <c r="A161" s="18" t="n">
        <v>45861</v>
      </c>
      <c r="B161" s="19" t="n">
        <v>3397.60009765625</v>
      </c>
      <c r="C161" s="19" t="n">
        <v>39.27799987792969</v>
      </c>
      <c r="D161" s="19" t="n">
        <v>4036.300048828125</v>
      </c>
      <c r="E161" s="20">
        <f>ROUND((B161/31.1034768)*D161, 2)</f>
        <v/>
      </c>
      <c r="F161" s="20">
        <f>ROUND((C161/31.1034768)*D161, 2)</f>
        <v/>
      </c>
      <c r="G161" s="21">
        <f>IFERROR((E161-E160)/E160, 0)</f>
        <v/>
      </c>
      <c r="H161" s="21">
        <f>IFERROR((F161-F160)/F160, 0)</f>
        <v/>
      </c>
    </row>
    <row r="162" ht="20" customHeight="1">
      <c r="A162" s="14" t="n">
        <v>45862</v>
      </c>
      <c r="B162" s="15" t="n">
        <v>3373.5</v>
      </c>
      <c r="C162" s="15" t="n">
        <v>39.02099990844727</v>
      </c>
      <c r="D162" s="15" t="n">
        <v>4072.010009765625</v>
      </c>
      <c r="E162" s="16">
        <f>ROUND((B162/31.1034768)*D162, 2)</f>
        <v/>
      </c>
      <c r="F162" s="16">
        <f>ROUND((C162/31.1034768)*D162, 2)</f>
        <v/>
      </c>
      <c r="G162" s="17">
        <f>IFERROR((E162-E161)/E161, 0)</f>
        <v/>
      </c>
      <c r="H162" s="17">
        <f>IFERROR((F162-F161)/F161, 0)</f>
        <v/>
      </c>
    </row>
    <row r="163" ht="20" customHeight="1">
      <c r="A163" s="18" t="n">
        <v>45863</v>
      </c>
      <c r="B163" s="19" t="n">
        <v>3335.60009765625</v>
      </c>
      <c r="C163" s="19" t="n">
        <v>38.16699981689453</v>
      </c>
      <c r="D163" s="19" t="n">
        <v>4072.010009765625</v>
      </c>
      <c r="E163" s="20">
        <f>ROUND((B163/31.1034768)*D163, 2)</f>
        <v/>
      </c>
      <c r="F163" s="20">
        <f>ROUND((C163/31.1034768)*D163, 2)</f>
        <v/>
      </c>
      <c r="G163" s="21">
        <f>IFERROR((E163-E162)/E162, 0)</f>
        <v/>
      </c>
      <c r="H163" s="21">
        <f>IFERROR((F163-F162)/F162, 0)</f>
        <v/>
      </c>
    </row>
    <row r="164" ht="20" customHeight="1">
      <c r="A164" s="14" t="n">
        <v>45865</v>
      </c>
      <c r="B164" s="15" t="n">
        <v>3335.60009765625</v>
      </c>
      <c r="C164" s="15" t="n">
        <v>38.16699981689453</v>
      </c>
      <c r="D164" s="15" t="n">
        <v>4063.7099609375</v>
      </c>
      <c r="E164" s="16">
        <f>ROUND((B164/31.1034768)*D164, 2)</f>
        <v/>
      </c>
      <c r="F164" s="16">
        <f>ROUND((C164/31.1034768)*D164, 2)</f>
        <v/>
      </c>
      <c r="G164" s="17">
        <f>IFERROR((E164-E163)/E163, 0)</f>
        <v/>
      </c>
      <c r="H164" s="17">
        <f>IFERROR((F164-F163)/F163, 0)</f>
        <v/>
      </c>
    </row>
    <row r="165" ht="20" customHeight="1">
      <c r="A165" s="18" t="n">
        <v>45866</v>
      </c>
      <c r="B165" s="19" t="n">
        <v>3310</v>
      </c>
      <c r="C165" s="19" t="n">
        <v>38.0260009765625</v>
      </c>
      <c r="D165" s="19" t="n">
        <v>4173.58984375</v>
      </c>
      <c r="E165" s="20">
        <f>ROUND((B165/31.1034768)*D165, 2)</f>
        <v/>
      </c>
      <c r="F165" s="20">
        <f>ROUND((C165/31.1034768)*D165, 2)</f>
        <v/>
      </c>
      <c r="G165" s="21">
        <f>IFERROR((E165-E164)/E164, 0)</f>
        <v/>
      </c>
      <c r="H165" s="21">
        <f>IFERROR((F165-F164)/F164, 0)</f>
        <v/>
      </c>
    </row>
    <row r="166" ht="20" customHeight="1">
      <c r="A166" s="14" t="n">
        <v>45867</v>
      </c>
      <c r="B166" s="15" t="n">
        <v>3324</v>
      </c>
      <c r="C166" s="15" t="n">
        <v>38.08399963378906</v>
      </c>
      <c r="D166" s="15" t="n">
        <v>4134.75</v>
      </c>
      <c r="E166" s="16">
        <f>ROUND((B166/31.1034768)*D166, 2)</f>
        <v/>
      </c>
      <c r="F166" s="16">
        <f>ROUND((C166/31.1034768)*D166, 2)</f>
        <v/>
      </c>
      <c r="G166" s="17">
        <f>IFERROR((E166-E165)/E165, 0)</f>
        <v/>
      </c>
      <c r="H166" s="17">
        <f>IFERROR((F166-F165)/F165, 0)</f>
        <v/>
      </c>
    </row>
    <row r="167" ht="20" customHeight="1">
      <c r="A167" s="18" t="n">
        <v>45868</v>
      </c>
      <c r="B167" s="19" t="n">
        <v>3295.800048828125</v>
      </c>
      <c r="C167" s="19" t="n">
        <v>37.56600189208984</v>
      </c>
      <c r="D167" s="19" t="n">
        <v>4186.75</v>
      </c>
      <c r="E167" s="20">
        <f>ROUND((B167/31.1034768)*D167, 2)</f>
        <v/>
      </c>
      <c r="F167" s="20">
        <f>ROUND((C167/31.1034768)*D167, 2)</f>
        <v/>
      </c>
      <c r="G167" s="21">
        <f>IFERROR((E167-E166)/E166, 0)</f>
        <v/>
      </c>
      <c r="H167" s="21">
        <f>IFERROR((F167-F166)/F166, 0)</f>
        <v/>
      </c>
    </row>
    <row r="168" ht="20" customHeight="1">
      <c r="A168" s="14" t="n">
        <v>45869</v>
      </c>
      <c r="B168" s="15" t="n">
        <v>3293.199951171875</v>
      </c>
      <c r="C168" s="15" t="n">
        <v>36.55199813842773</v>
      </c>
      <c r="D168" s="15" t="n">
        <v>4184.9599609375</v>
      </c>
      <c r="E168" s="16">
        <f>ROUND((B168/31.1034768)*D168, 2)</f>
        <v/>
      </c>
      <c r="F168" s="16">
        <f>ROUND((C168/31.1034768)*D168, 2)</f>
        <v/>
      </c>
      <c r="G168" s="17">
        <f>IFERROR((E168-E167)/E167, 0)</f>
        <v/>
      </c>
      <c r="H168" s="17">
        <f>IFERROR((F168-F167)/F167, 0)</f>
        <v/>
      </c>
    </row>
    <row r="169" ht="20" customHeight="1">
      <c r="A169" s="18" t="n">
        <v>45870</v>
      </c>
      <c r="B169" s="19" t="n">
        <v>3399.800048828125</v>
      </c>
      <c r="C169" s="19" t="n">
        <v>36.7869987487793</v>
      </c>
      <c r="D169" s="19" t="n">
        <v>4184.9599609375</v>
      </c>
      <c r="E169" s="20">
        <f>ROUND((B169/31.1034768)*D169, 2)</f>
        <v/>
      </c>
      <c r="F169" s="20">
        <f>ROUND((C169/31.1034768)*D169, 2)</f>
        <v/>
      </c>
      <c r="G169" s="21">
        <f>IFERROR((E169-E168)/E168, 0)</f>
        <v/>
      </c>
      <c r="H169" s="21">
        <f>IFERROR((F169-F168)/F168, 0)</f>
        <v/>
      </c>
    </row>
    <row r="170" ht="20" customHeight="1">
      <c r="A170" s="14" t="n">
        <v>45872</v>
      </c>
      <c r="B170" s="15" t="n">
        <v>3399.800048828125</v>
      </c>
      <c r="C170" s="15" t="n">
        <v>36.7869987487793</v>
      </c>
      <c r="D170" s="15" t="n">
        <v>4122.419921875</v>
      </c>
      <c r="E170" s="16">
        <f>ROUND((B170/31.1034768)*D170, 2)</f>
        <v/>
      </c>
      <c r="F170" s="16">
        <f>ROUND((C170/31.1034768)*D170, 2)</f>
        <v/>
      </c>
      <c r="G170" s="17">
        <f>IFERROR((E170-E169)/E169, 0)</f>
        <v/>
      </c>
      <c r="H170" s="17">
        <f>IFERROR((F170-F169)/F169, 0)</f>
        <v/>
      </c>
    </row>
    <row r="171" ht="20" customHeight="1">
      <c r="A171" s="18" t="n">
        <v>45873</v>
      </c>
      <c r="B171" s="19" t="n">
        <v>3426.39990234375</v>
      </c>
      <c r="C171" s="19" t="n">
        <v>37.19200134277344</v>
      </c>
      <c r="D171" s="19" t="n">
        <v>4096.89990234375</v>
      </c>
      <c r="E171" s="20">
        <f>ROUND((B171/31.1034768)*D171, 2)</f>
        <v/>
      </c>
      <c r="F171" s="20">
        <f>ROUND((C171/31.1034768)*D171, 2)</f>
        <v/>
      </c>
      <c r="G171" s="21">
        <f>IFERROR((E171-E170)/E170, 0)</f>
        <v/>
      </c>
      <c r="H171" s="21">
        <f>IFERROR((F171-F170)/F170, 0)</f>
        <v/>
      </c>
    </row>
    <row r="172" ht="20" customHeight="1">
      <c r="A172" s="14" t="n">
        <v>45874</v>
      </c>
      <c r="B172" s="15" t="n">
        <v>3434.699951171875</v>
      </c>
      <c r="C172" s="15" t="n">
        <v>37.6870002746582</v>
      </c>
      <c r="D172" s="15" t="n">
        <v>4088.5</v>
      </c>
      <c r="E172" s="16">
        <f>ROUND((B172/31.1034768)*D172, 2)</f>
        <v/>
      </c>
      <c r="F172" s="16">
        <f>ROUND((C172/31.1034768)*D172, 2)</f>
        <v/>
      </c>
      <c r="G172" s="17">
        <f>IFERROR((E172-E171)/E171, 0)</f>
        <v/>
      </c>
      <c r="H172" s="17">
        <f>IFERROR((F172-F171)/F171, 0)</f>
        <v/>
      </c>
    </row>
    <row r="173" ht="20" customHeight="1">
      <c r="A173" s="18" t="n">
        <v>45875</v>
      </c>
      <c r="B173" s="19" t="n">
        <v>3433.39990234375</v>
      </c>
      <c r="C173" s="19" t="n">
        <v>37.76599884033203</v>
      </c>
      <c r="D173" s="19" t="n">
        <v>4043.570068359375</v>
      </c>
      <c r="E173" s="20">
        <f>ROUND((B173/31.1034768)*D173, 2)</f>
        <v/>
      </c>
      <c r="F173" s="20">
        <f>ROUND((C173/31.1034768)*D173, 2)</f>
        <v/>
      </c>
      <c r="G173" s="21">
        <f>IFERROR((E173-E172)/E172, 0)</f>
        <v/>
      </c>
      <c r="H173" s="21">
        <f>IFERROR((F173-F172)/F172, 0)</f>
        <v/>
      </c>
    </row>
    <row r="174" ht="20" customHeight="1">
      <c r="A174" s="14" t="n">
        <v>45876</v>
      </c>
      <c r="B174" s="15" t="n">
        <v>3453.699951171875</v>
      </c>
      <c r="C174" s="15" t="n">
        <v>38.15800094604492</v>
      </c>
      <c r="D174" s="15" t="n">
        <v>4045.25</v>
      </c>
      <c r="E174" s="16">
        <f>ROUND((B174/31.1034768)*D174, 2)</f>
        <v/>
      </c>
      <c r="F174" s="16">
        <f>ROUND((C174/31.1034768)*D174, 2)</f>
        <v/>
      </c>
      <c r="G174" s="17">
        <f>IFERROR((E174-E173)/E173, 0)</f>
        <v/>
      </c>
      <c r="H174" s="17">
        <f>IFERROR((F174-F173)/F173, 0)</f>
        <v/>
      </c>
    </row>
    <row r="175" ht="20" customHeight="1">
      <c r="A175" s="18" t="n">
        <v>45877</v>
      </c>
      <c r="B175" s="19" t="n">
        <v>3491.300048828125</v>
      </c>
      <c r="C175" s="19" t="n">
        <v>38.41699981689453</v>
      </c>
      <c r="D175" s="19" t="n">
        <v>4045.25</v>
      </c>
      <c r="E175" s="20">
        <f>ROUND((B175/31.1034768)*D175, 2)</f>
        <v/>
      </c>
      <c r="F175" s="20">
        <f>ROUND((C175/31.1034768)*D175, 2)</f>
        <v/>
      </c>
      <c r="G175" s="21">
        <f>IFERROR((E175-E174)/E174, 0)</f>
        <v/>
      </c>
      <c r="H175" s="21">
        <f>IFERROR((F175-F174)/F174, 0)</f>
        <v/>
      </c>
    </row>
    <row r="176" ht="20" customHeight="1">
      <c r="A176" s="14" t="n">
        <v>45879</v>
      </c>
      <c r="B176" s="15" t="n">
        <v>3491.300048828125</v>
      </c>
      <c r="C176" s="15" t="n">
        <v>38.41699981689453</v>
      </c>
      <c r="D176" s="15" t="n">
        <v>4043.139892578125</v>
      </c>
      <c r="E176" s="16">
        <f>ROUND((B176/31.1034768)*D176, 2)</f>
        <v/>
      </c>
      <c r="F176" s="16">
        <f>ROUND((C176/31.1034768)*D176, 2)</f>
        <v/>
      </c>
      <c r="G176" s="17">
        <f>IFERROR((E176-E175)/E175, 0)</f>
        <v/>
      </c>
      <c r="H176" s="17">
        <f>IFERROR((F176-F175)/F175, 0)</f>
        <v/>
      </c>
    </row>
    <row r="177" ht="20" customHeight="1">
      <c r="A177" s="18" t="n">
        <v>45880</v>
      </c>
      <c r="B177" s="19" t="n">
        <v>3404.699951171875</v>
      </c>
      <c r="C177" s="19" t="n">
        <v>37.6619987487793</v>
      </c>
      <c r="D177" s="19" t="n">
        <v>4027.7900390625</v>
      </c>
      <c r="E177" s="20">
        <f>ROUND((B177/31.1034768)*D177, 2)</f>
        <v/>
      </c>
      <c r="F177" s="20">
        <f>ROUND((C177/31.1034768)*D177, 2)</f>
        <v/>
      </c>
      <c r="G177" s="21">
        <f>IFERROR((E177-E176)/E176, 0)</f>
        <v/>
      </c>
      <c r="H177" s="21">
        <f>IFERROR((F177-F176)/F176, 0)</f>
        <v/>
      </c>
    </row>
    <row r="178" ht="20" customHeight="1">
      <c r="A178" s="14" t="n">
        <v>45881</v>
      </c>
      <c r="B178" s="15" t="n">
        <v>3399</v>
      </c>
      <c r="C178" s="15" t="n">
        <v>37.89899826049805</v>
      </c>
      <c r="D178" s="15" t="n">
        <v>4018.75</v>
      </c>
      <c r="E178" s="16">
        <f>ROUND((B178/31.1034768)*D178, 2)</f>
        <v/>
      </c>
      <c r="F178" s="16">
        <f>ROUND((C178/31.1034768)*D178, 2)</f>
        <v/>
      </c>
      <c r="G178" s="17">
        <f>IFERROR((E178-E177)/E177, 0)</f>
        <v/>
      </c>
      <c r="H178" s="17">
        <f>IFERROR((F178-F177)/F177, 0)</f>
        <v/>
      </c>
    </row>
    <row r="179" ht="20" customHeight="1">
      <c r="A179" s="18" t="n">
        <v>45882</v>
      </c>
      <c r="B179" s="19" t="n">
        <v>3408.300048828125</v>
      </c>
      <c r="C179" s="19" t="n">
        <v>38.49900054931641</v>
      </c>
      <c r="D179" s="19" t="n">
        <v>4021.75</v>
      </c>
      <c r="E179" s="20">
        <f>ROUND((B179/31.1034768)*D179, 2)</f>
        <v/>
      </c>
      <c r="F179" s="20">
        <f>ROUND((C179/31.1034768)*D179, 2)</f>
        <v/>
      </c>
      <c r="G179" s="21">
        <f>IFERROR((E179-E178)/E178, 0)</f>
        <v/>
      </c>
      <c r="H179" s="21">
        <f>IFERROR((F179-F178)/F178, 0)</f>
        <v/>
      </c>
    </row>
    <row r="180" ht="20" customHeight="1">
      <c r="A180" s="14" t="n">
        <v>45883</v>
      </c>
      <c r="B180" s="15" t="n">
        <v>3383.199951171875</v>
      </c>
      <c r="C180" s="15" t="n">
        <v>37.98199844360352</v>
      </c>
      <c r="D180" s="15" t="n">
        <v>4049.449951171875</v>
      </c>
      <c r="E180" s="16">
        <f>ROUND((B180/31.1034768)*D180, 2)</f>
        <v/>
      </c>
      <c r="F180" s="16">
        <f>ROUND((C180/31.1034768)*D180, 2)</f>
        <v/>
      </c>
      <c r="G180" s="17">
        <f>IFERROR((E180-E179)/E179, 0)</f>
        <v/>
      </c>
      <c r="H180" s="17">
        <f>IFERROR((F180-F179)/F179, 0)</f>
        <v/>
      </c>
    </row>
    <row r="181" ht="20" customHeight="1">
      <c r="A181" s="18" t="n">
        <v>45884</v>
      </c>
      <c r="B181" s="19" t="n">
        <v>3382.60009765625</v>
      </c>
      <c r="C181" s="19" t="n">
        <v>37.89400100708008</v>
      </c>
      <c r="D181" s="19" t="n">
        <v>4049.449951171875</v>
      </c>
      <c r="E181" s="20">
        <f>ROUND((B181/31.1034768)*D181, 2)</f>
        <v/>
      </c>
      <c r="F181" s="20">
        <f>ROUND((C181/31.1034768)*D181, 2)</f>
        <v/>
      </c>
      <c r="G181" s="21">
        <f>IFERROR((E181-E180)/E180, 0)</f>
        <v/>
      </c>
      <c r="H181" s="21">
        <f>IFERROR((F181-F180)/F180, 0)</f>
        <v/>
      </c>
    </row>
    <row r="182" ht="20" customHeight="1">
      <c r="A182" s="14" t="n">
        <v>45886</v>
      </c>
      <c r="B182" s="15" t="n">
        <v>3382.60009765625</v>
      </c>
      <c r="C182" s="15" t="n">
        <v>37.89400100708008</v>
      </c>
      <c r="D182" s="15" t="n">
        <v>4045.159912109375</v>
      </c>
      <c r="E182" s="16">
        <f>ROUND((B182/31.1034768)*D182, 2)</f>
        <v/>
      </c>
      <c r="F182" s="16">
        <f>ROUND((C182/31.1034768)*D182, 2)</f>
        <v/>
      </c>
      <c r="G182" s="17">
        <f>IFERROR((E182-E181)/E181, 0)</f>
        <v/>
      </c>
      <c r="H182" s="17">
        <f>IFERROR((F182-F181)/F181, 0)</f>
        <v/>
      </c>
    </row>
    <row r="183" ht="20" customHeight="1">
      <c r="A183" s="18" t="n">
        <v>45887</v>
      </c>
      <c r="B183" s="19" t="n">
        <v>3378</v>
      </c>
      <c r="C183" s="19" t="n">
        <v>37.95100021362305</v>
      </c>
      <c r="D183" s="19" t="n">
        <v>4013.25</v>
      </c>
      <c r="E183" s="20">
        <f>ROUND((B183/31.1034768)*D183, 2)</f>
        <v/>
      </c>
      <c r="F183" s="20">
        <f>ROUND((C183/31.1034768)*D183, 2)</f>
        <v/>
      </c>
      <c r="G183" s="21">
        <f>IFERROR((E183-E182)/E182, 0)</f>
        <v/>
      </c>
      <c r="H183" s="21">
        <f>IFERROR((F183-F182)/F182, 0)</f>
        <v/>
      </c>
    </row>
    <row r="184" ht="20" customHeight="1">
      <c r="A184" s="14" t="n">
        <v>45888</v>
      </c>
      <c r="B184" s="15" t="n">
        <v>3358.699951171875</v>
      </c>
      <c r="C184" s="15" t="n">
        <v>37.26100158691406</v>
      </c>
      <c r="D184" s="15" t="n">
        <v>4031.8798828125</v>
      </c>
      <c r="E184" s="16">
        <f>ROUND((B184/31.1034768)*D184, 2)</f>
        <v/>
      </c>
      <c r="F184" s="16">
        <f>ROUND((C184/31.1034768)*D184, 2)</f>
        <v/>
      </c>
      <c r="G184" s="17">
        <f>IFERROR((E184-E183)/E183, 0)</f>
        <v/>
      </c>
      <c r="H184" s="17">
        <f>IFERROR((F184-F183)/F183, 0)</f>
        <v/>
      </c>
    </row>
    <row r="185" ht="20" customHeight="1">
      <c r="A185" s="18" t="n">
        <v>45889</v>
      </c>
      <c r="B185" s="19" t="n">
        <v>3388.5</v>
      </c>
      <c r="C185" s="19" t="n">
        <v>37.70500183105469</v>
      </c>
      <c r="D185" s="19" t="n">
        <v>4024.949951171875</v>
      </c>
      <c r="E185" s="20">
        <f>ROUND((B185/31.1034768)*D185, 2)</f>
        <v/>
      </c>
      <c r="F185" s="20">
        <f>ROUND((C185/31.1034768)*D185, 2)</f>
        <v/>
      </c>
      <c r="G185" s="21">
        <f>IFERROR((E185-E184)/E184, 0)</f>
        <v/>
      </c>
      <c r="H185" s="21">
        <f>IFERROR((F185-F184)/F184, 0)</f>
        <v/>
      </c>
    </row>
    <row r="186" ht="20" customHeight="1">
      <c r="A186" s="14" t="n">
        <v>45890</v>
      </c>
      <c r="B186" s="15" t="n">
        <v>3381.60009765625</v>
      </c>
      <c r="C186" s="15" t="n">
        <v>38.02700042724609</v>
      </c>
      <c r="D186" s="15" t="n">
        <v>4032.699951171875</v>
      </c>
      <c r="E186" s="16">
        <f>ROUND((B186/31.1034768)*D186, 2)</f>
        <v/>
      </c>
      <c r="F186" s="16">
        <f>ROUND((C186/31.1034768)*D186, 2)</f>
        <v/>
      </c>
      <c r="G186" s="17">
        <f>IFERROR((E186-E185)/E185, 0)</f>
        <v/>
      </c>
      <c r="H186" s="17">
        <f>IFERROR((F186-F185)/F185, 0)</f>
        <v/>
      </c>
    </row>
    <row r="187" ht="20" customHeight="1">
      <c r="A187" s="18" t="n">
        <v>45891</v>
      </c>
      <c r="B187" s="19" t="n">
        <v>3418.5</v>
      </c>
      <c r="C187" s="19" t="n">
        <v>39.00299835205078</v>
      </c>
      <c r="D187" s="19" t="n">
        <v>4032.699951171875</v>
      </c>
      <c r="E187" s="20">
        <f>ROUND((B187/31.1034768)*D187, 2)</f>
        <v/>
      </c>
      <c r="F187" s="20">
        <f>ROUND((C187/31.1034768)*D187, 2)</f>
        <v/>
      </c>
      <c r="G187" s="21">
        <f>IFERROR((E187-E186)/E186, 0)</f>
        <v/>
      </c>
      <c r="H187" s="21">
        <f>IFERROR((F187-F186)/F186, 0)</f>
        <v/>
      </c>
    </row>
    <row r="188" ht="20" customHeight="1">
      <c r="A188" s="14" t="n">
        <v>45893</v>
      </c>
      <c r="B188" s="15" t="n">
        <v>3418.5</v>
      </c>
      <c r="C188" s="15" t="n">
        <v>39.00299835205078</v>
      </c>
      <c r="D188" s="15" t="n">
        <v>3984.860107421875</v>
      </c>
      <c r="E188" s="16">
        <f>ROUND((B188/31.1034768)*D188, 2)</f>
        <v/>
      </c>
      <c r="F188" s="16">
        <f>ROUND((C188/31.1034768)*D188, 2)</f>
        <v/>
      </c>
      <c r="G188" s="17">
        <f>IFERROR((E188-E187)/E187, 0)</f>
        <v/>
      </c>
      <c r="H188" s="17">
        <f>IFERROR((F188-F187)/F187, 0)</f>
        <v/>
      </c>
    </row>
    <row r="189" ht="20" customHeight="1">
      <c r="A189" s="18" t="n">
        <v>45894</v>
      </c>
      <c r="B189" s="19" t="n">
        <v>3417.5</v>
      </c>
      <c r="C189" s="19" t="n">
        <v>38.67699813842773</v>
      </c>
      <c r="D189" s="19" t="n">
        <v>4024</v>
      </c>
      <c r="E189" s="20">
        <f>ROUND((B189/31.1034768)*D189, 2)</f>
        <v/>
      </c>
      <c r="F189" s="20">
        <f>ROUND((C189/31.1034768)*D189, 2)</f>
        <v/>
      </c>
      <c r="G189" s="21">
        <f>IFERROR((E189-E188)/E188, 0)</f>
        <v/>
      </c>
      <c r="H189" s="21">
        <f>IFERROR((F189-F188)/F188, 0)</f>
        <v/>
      </c>
    </row>
    <row r="190" ht="20" customHeight="1">
      <c r="A190" s="14" t="n">
        <v>45895</v>
      </c>
      <c r="B190" s="15" t="n">
        <v>3433</v>
      </c>
      <c r="C190" s="15" t="n">
        <v>38.58200073242188</v>
      </c>
      <c r="D190" s="15" t="n">
        <v>4053.3701171875</v>
      </c>
      <c r="E190" s="16">
        <f>ROUND((B190/31.1034768)*D190, 2)</f>
        <v/>
      </c>
      <c r="F190" s="16">
        <f>ROUND((C190/31.1034768)*D190, 2)</f>
        <v/>
      </c>
      <c r="G190" s="17">
        <f>IFERROR((E190-E189)/E189, 0)</f>
        <v/>
      </c>
      <c r="H190" s="17">
        <f>IFERROR((F190-F189)/F189, 0)</f>
        <v/>
      </c>
    </row>
    <row r="191" ht="20" customHeight="1">
      <c r="A191" s="18" t="n">
        <v>45896</v>
      </c>
      <c r="B191" s="19" t="n">
        <v>3448.60009765625</v>
      </c>
      <c r="C191" s="19" t="n">
        <v>38.68899917602539</v>
      </c>
      <c r="D191" s="19" t="n">
        <v>4027.360107421875</v>
      </c>
      <c r="E191" s="20">
        <f>ROUND((B191/31.1034768)*D191, 2)</f>
        <v/>
      </c>
      <c r="F191" s="20">
        <f>ROUND((C191/31.1034768)*D191, 2)</f>
        <v/>
      </c>
      <c r="G191" s="21">
        <f>IFERROR((E191-E190)/E190, 0)</f>
        <v/>
      </c>
      <c r="H191" s="21">
        <f>IFERROR((F191-F190)/F190, 0)</f>
        <v/>
      </c>
    </row>
    <row r="192" ht="20" customHeight="1">
      <c r="A192" s="14" t="n">
        <v>45897</v>
      </c>
      <c r="B192" s="15" t="n">
        <v>3474.300048828125</v>
      </c>
      <c r="C192" s="15" t="n">
        <v>39.18999862670898</v>
      </c>
      <c r="D192" s="15" t="n">
        <v>4024.800048828125</v>
      </c>
      <c r="E192" s="16">
        <f>ROUND((B192/31.1034768)*D192, 2)</f>
        <v/>
      </c>
      <c r="F192" s="16">
        <f>ROUND((C192/31.1034768)*D192, 2)</f>
        <v/>
      </c>
      <c r="G192" s="17">
        <f>IFERROR((E192-E191)/E191, 0)</f>
        <v/>
      </c>
      <c r="H192" s="17">
        <f>IFERROR((F192-F191)/F191, 0)</f>
        <v/>
      </c>
    </row>
    <row r="193" ht="20" customHeight="1">
      <c r="A193" s="18" t="n">
        <v>45898</v>
      </c>
      <c r="B193" s="19" t="n">
        <v>3516.10009765625</v>
      </c>
      <c r="C193" s="19" t="n">
        <v>40.20000076293945</v>
      </c>
      <c r="D193" s="19" t="n">
        <v>4024.800048828125</v>
      </c>
      <c r="E193" s="20">
        <f>ROUND((B193/31.1034768)*D193, 2)</f>
        <v/>
      </c>
      <c r="F193" s="20">
        <f>ROUND((C193/31.1034768)*D193, 2)</f>
        <v/>
      </c>
      <c r="G193" s="21">
        <f>IFERROR((E193-E192)/E192, 0)</f>
        <v/>
      </c>
      <c r="H193" s="21">
        <f>IFERROR((F193-F192)/F192, 0)</f>
        <v/>
      </c>
    </row>
    <row r="194" ht="20" customHeight="1">
      <c r="A194" s="14" t="n">
        <v>45900</v>
      </c>
      <c r="B194" s="15" t="n">
        <v>3516.10009765625</v>
      </c>
      <c r="C194" s="15" t="n">
        <v>40.20000076293945</v>
      </c>
      <c r="D194" s="15" t="n">
        <v>4013.989990234375</v>
      </c>
      <c r="E194" s="16">
        <f>ROUND((B194/31.1034768)*D194, 2)</f>
        <v/>
      </c>
      <c r="F194" s="16">
        <f>ROUND((C194/31.1034768)*D194, 2)</f>
        <v/>
      </c>
      <c r="G194" s="17">
        <f>IFERROR((E194-E193)/E193, 0)</f>
        <v/>
      </c>
      <c r="H194" s="17">
        <f>IFERROR((F194-F193)/F193, 0)</f>
        <v/>
      </c>
    </row>
    <row r="195" ht="20" customHeight="1">
      <c r="A195" s="18" t="n">
        <v>45901</v>
      </c>
      <c r="B195" s="19" t="n">
        <v>3516.10009765625</v>
      </c>
      <c r="C195" s="19" t="n">
        <v>40.20000076293945</v>
      </c>
      <c r="D195" s="19" t="n">
        <v>4013.35009765625</v>
      </c>
      <c r="E195" s="20">
        <f>ROUND((B195/31.1034768)*D195, 2)</f>
        <v/>
      </c>
      <c r="F195" s="20">
        <f>ROUND((C195/31.1034768)*D195, 2)</f>
        <v/>
      </c>
      <c r="G195" s="21">
        <f>IFERROR((E195-E194)/E194, 0)</f>
        <v/>
      </c>
      <c r="H195" s="21">
        <f>IFERROR((F195-F194)/F194, 0)</f>
        <v/>
      </c>
    </row>
    <row r="196" ht="20" customHeight="1">
      <c r="A196" s="14" t="n">
        <v>45902</v>
      </c>
      <c r="B196" s="15" t="n">
        <v>3592.199951171875</v>
      </c>
      <c r="C196" s="15" t="n">
        <v>41.07099914550781</v>
      </c>
      <c r="D196" s="15" t="n">
        <v>4003.39990234375</v>
      </c>
      <c r="E196" s="16">
        <f>ROUND((B196/31.1034768)*D196, 2)</f>
        <v/>
      </c>
      <c r="F196" s="16">
        <f>ROUND((C196/31.1034768)*D196, 2)</f>
        <v/>
      </c>
      <c r="G196" s="17">
        <f>IFERROR((E196-E195)/E195, 0)</f>
        <v/>
      </c>
      <c r="H196" s="17">
        <f>IFERROR((F196-F195)/F195, 0)</f>
        <v/>
      </c>
    </row>
    <row r="197" ht="20" customHeight="1">
      <c r="A197" s="18" t="n">
        <v>45903</v>
      </c>
      <c r="B197" s="19" t="n">
        <v>3635.5</v>
      </c>
      <c r="C197" s="19" t="n">
        <v>41.54199981689453</v>
      </c>
      <c r="D197" s="19" t="n">
        <v>4004.25</v>
      </c>
      <c r="E197" s="20">
        <f>ROUND((B197/31.1034768)*D197, 2)</f>
        <v/>
      </c>
      <c r="F197" s="20">
        <f>ROUND((C197/31.1034768)*D197, 2)</f>
        <v/>
      </c>
      <c r="G197" s="21">
        <f>IFERROR((E197-E196)/E196, 0)</f>
        <v/>
      </c>
      <c r="H197" s="21">
        <f>IFERROR((F197-F196)/F196, 0)</f>
        <v/>
      </c>
    </row>
    <row r="198" ht="20" customHeight="1">
      <c r="A198" s="14" t="n">
        <v>45904</v>
      </c>
      <c r="B198" s="15" t="n">
        <v>3606.699951171875</v>
      </c>
      <c r="C198" s="15" t="n">
        <v>40.9109992980957</v>
      </c>
      <c r="D198" s="15" t="n">
        <v>3985.25</v>
      </c>
      <c r="E198" s="16">
        <f>ROUND((B198/31.1034768)*D198, 2)</f>
        <v/>
      </c>
      <c r="F198" s="16">
        <f>ROUND((C198/31.1034768)*D198, 2)</f>
        <v/>
      </c>
      <c r="G198" s="17">
        <f>IFERROR((E198-E197)/E197, 0)</f>
        <v/>
      </c>
      <c r="H198" s="17">
        <f>IFERROR((F198-F197)/F197, 0)</f>
        <v/>
      </c>
    </row>
    <row r="199" ht="20" customHeight="1">
      <c r="A199" s="18" t="n">
        <v>45905</v>
      </c>
      <c r="B199" s="19" t="n">
        <v>3653.300048828125</v>
      </c>
      <c r="C199" s="19" t="n">
        <v>41.07400131225586</v>
      </c>
      <c r="D199" s="19" t="n">
        <v>3985.25</v>
      </c>
      <c r="E199" s="20">
        <f>ROUND((B199/31.1034768)*D199, 2)</f>
        <v/>
      </c>
      <c r="F199" s="20">
        <f>ROUND((C199/31.1034768)*D199, 2)</f>
        <v/>
      </c>
      <c r="G199" s="21">
        <f>IFERROR((E199-E198)/E198, 0)</f>
        <v/>
      </c>
      <c r="H199" s="21">
        <f>IFERROR((F199-F198)/F198, 0)</f>
        <v/>
      </c>
    </row>
    <row r="200" ht="20" customHeight="1">
      <c r="A200" s="14" t="n">
        <v>45907</v>
      </c>
      <c r="B200" s="15" t="n">
        <v>3653.300048828125</v>
      </c>
      <c r="C200" s="15" t="n">
        <v>41.07400131225586</v>
      </c>
      <c r="D200" s="15" t="n">
        <v>3966.489990234375</v>
      </c>
      <c r="E200" s="16">
        <f>ROUND((B200/31.1034768)*D200, 2)</f>
        <v/>
      </c>
      <c r="F200" s="16">
        <f>ROUND((C200/31.1034768)*D200, 2)</f>
        <v/>
      </c>
      <c r="G200" s="17">
        <f>IFERROR((E200-E199)/E199, 0)</f>
        <v/>
      </c>
      <c r="H200" s="17">
        <f>IFERROR((F200-F199)/F199, 0)</f>
        <v/>
      </c>
    </row>
    <row r="201" ht="20" customHeight="1">
      <c r="A201" s="18" t="n">
        <v>45908</v>
      </c>
      <c r="B201" s="19" t="n">
        <v>3677.39990234375</v>
      </c>
      <c r="C201" s="19" t="n">
        <v>41.42599868774414</v>
      </c>
      <c r="D201" s="19" t="n">
        <v>3938.25</v>
      </c>
      <c r="E201" s="20">
        <f>ROUND((B201/31.1034768)*D201, 2)</f>
        <v/>
      </c>
      <c r="F201" s="20">
        <f>ROUND((C201/31.1034768)*D201, 2)</f>
        <v/>
      </c>
      <c r="G201" s="21">
        <f>IFERROR((E201-E200)/E200, 0)</f>
        <v/>
      </c>
      <c r="H201" s="21">
        <f>IFERROR((F201-F200)/F200, 0)</f>
        <v/>
      </c>
    </row>
    <row r="202" ht="20" customHeight="1">
      <c r="A202" s="14" t="n">
        <v>45909</v>
      </c>
      <c r="B202" s="15" t="n">
        <v>3682.199951171875</v>
      </c>
      <c r="C202" s="15" t="n">
        <v>40.87799835205078</v>
      </c>
      <c r="D202" s="15" t="n">
        <v>3921.75</v>
      </c>
      <c r="E202" s="16">
        <f>ROUND((B202/31.1034768)*D202, 2)</f>
        <v/>
      </c>
      <c r="F202" s="16">
        <f>ROUND((C202/31.1034768)*D202, 2)</f>
        <v/>
      </c>
      <c r="G202" s="17">
        <f>IFERROR((E202-E201)/E201, 0)</f>
        <v/>
      </c>
      <c r="H202" s="17">
        <f>IFERROR((F202-F201)/F201, 0)</f>
        <v/>
      </c>
    </row>
    <row r="203" ht="20" customHeight="1">
      <c r="A203" s="18" t="n">
        <v>45910</v>
      </c>
      <c r="B203" s="19" t="n">
        <v>3682</v>
      </c>
      <c r="C203" s="19" t="n">
        <v>41.13299942016602</v>
      </c>
      <c r="D203" s="19" t="n">
        <v>3922.3798828125</v>
      </c>
      <c r="E203" s="20">
        <f>ROUND((B203/31.1034768)*D203, 2)</f>
        <v/>
      </c>
      <c r="F203" s="20">
        <f>ROUND((C203/31.1034768)*D203, 2)</f>
        <v/>
      </c>
      <c r="G203" s="21">
        <f>IFERROR((E203-E202)/E202, 0)</f>
        <v/>
      </c>
      <c r="H203" s="21">
        <f>IFERROR((F203-F202)/F202, 0)</f>
        <v/>
      </c>
    </row>
    <row r="204" ht="20" customHeight="1">
      <c r="A204" s="14" t="n">
        <v>45911</v>
      </c>
      <c r="B204" s="15" t="n">
        <v>3673.60009765625</v>
      </c>
      <c r="C204" s="15" t="n">
        <v>41.69699859619141</v>
      </c>
      <c r="D204" s="15" t="n">
        <v>3894.52001953125</v>
      </c>
      <c r="E204" s="16">
        <f>ROUND((B204/31.1034768)*D204, 2)</f>
        <v/>
      </c>
      <c r="F204" s="16">
        <f>ROUND((C204/31.1034768)*D204, 2)</f>
        <v/>
      </c>
      <c r="G204" s="17">
        <f>IFERROR((E204-E203)/E203, 0)</f>
        <v/>
      </c>
      <c r="H204" s="17">
        <f>IFERROR((F204-F203)/F203, 0)</f>
        <v/>
      </c>
    </row>
    <row r="205" ht="20" customHeight="1">
      <c r="A205" s="18" t="n">
        <v>45912</v>
      </c>
      <c r="B205" s="19" t="n">
        <v>3686.39990234375</v>
      </c>
      <c r="C205" s="19" t="n">
        <v>42.38700103759766</v>
      </c>
      <c r="D205" s="19" t="n">
        <v>3894.52001953125</v>
      </c>
      <c r="E205" s="20">
        <f>ROUND((B205/31.1034768)*D205, 2)</f>
        <v/>
      </c>
      <c r="F205" s="20">
        <f>ROUND((C205/31.1034768)*D205, 2)</f>
        <v/>
      </c>
      <c r="G205" s="21">
        <f>IFERROR((E205-E204)/E204, 0)</f>
        <v/>
      </c>
      <c r="H205" s="21">
        <f>IFERROR((F205-F204)/F204, 0)</f>
        <v/>
      </c>
    </row>
    <row r="206" ht="20" customHeight="1">
      <c r="A206" s="14" t="n">
        <v>45914</v>
      </c>
      <c r="B206" s="15" t="n">
        <v>3686.39990234375</v>
      </c>
      <c r="C206" s="15" t="n">
        <v>42.38700103759766</v>
      </c>
      <c r="D206" s="15" t="n">
        <v>3851.14453125</v>
      </c>
      <c r="E206" s="16">
        <f>ROUND((B206/31.1034768)*D206, 2)</f>
        <v/>
      </c>
      <c r="F206" s="16">
        <f>ROUND((C206/31.1034768)*D206, 2)</f>
        <v/>
      </c>
      <c r="G206" s="17">
        <f>IFERROR((E206-E205)/E205, 0)</f>
        <v/>
      </c>
      <c r="H206" s="17">
        <f>IFERROR((F206-F205)/F205, 0)</f>
        <v/>
      </c>
    </row>
    <row r="207" ht="20" customHeight="1">
      <c r="A207" s="18" t="n">
        <v>45915</v>
      </c>
      <c r="B207" s="19" t="n">
        <v>3719</v>
      </c>
      <c r="C207" s="19" t="n">
        <v>42.51699829101562</v>
      </c>
      <c r="D207" s="19" t="n">
        <v>3906.320068359375</v>
      </c>
      <c r="E207" s="20">
        <f>ROUND((B207/31.1034768)*D207, 2)</f>
        <v/>
      </c>
      <c r="F207" s="20">
        <f>ROUND((C207/31.1034768)*D207, 2)</f>
        <v/>
      </c>
      <c r="G207" s="21">
        <f>IFERROR((E207-E206)/E206, 0)</f>
        <v/>
      </c>
      <c r="H207" s="21">
        <f>IFERROR((F207-F206)/F206, 0)</f>
        <v/>
      </c>
    </row>
    <row r="208" ht="20" customHeight="1">
      <c r="A208" s="14" t="n">
        <v>45916</v>
      </c>
      <c r="B208" s="15" t="n">
        <v>3725.10009765625</v>
      </c>
      <c r="C208" s="15" t="n">
        <v>42.47100067138672</v>
      </c>
      <c r="D208" s="15" t="n">
        <v>3865.8798828125</v>
      </c>
      <c r="E208" s="16">
        <f>ROUND((B208/31.1034768)*D208, 2)</f>
        <v/>
      </c>
      <c r="F208" s="16">
        <f>ROUND((C208/31.1034768)*D208, 2)</f>
        <v/>
      </c>
      <c r="G208" s="17">
        <f>IFERROR((E208-E207)/E207, 0)</f>
        <v/>
      </c>
      <c r="H208" s="17">
        <f>IFERROR((F208-F207)/F207, 0)</f>
        <v/>
      </c>
    </row>
    <row r="209" ht="20" customHeight="1">
      <c r="A209" s="18" t="n">
        <v>45917</v>
      </c>
      <c r="B209" s="19" t="n">
        <v>3717.800048828125</v>
      </c>
      <c r="C209" s="19" t="n">
        <v>41.72200012207031</v>
      </c>
      <c r="D209" s="19" t="n">
        <v>3875.590087890625</v>
      </c>
      <c r="E209" s="20">
        <f>ROUND((B209/31.1034768)*D209, 2)</f>
        <v/>
      </c>
      <c r="F209" s="20">
        <f>ROUND((C209/31.1034768)*D209, 2)</f>
        <v/>
      </c>
      <c r="G209" s="21">
        <f>IFERROR((E209-E208)/E208, 0)</f>
        <v/>
      </c>
      <c r="H209" s="21">
        <f>IFERROR((F209-F208)/F208, 0)</f>
        <v/>
      </c>
    </row>
    <row r="210" ht="20" customHeight="1">
      <c r="A210" s="14" t="n">
        <v>45918</v>
      </c>
      <c r="B210" s="15" t="n">
        <v>3678.300048828125</v>
      </c>
      <c r="C210" s="15" t="n">
        <v>41.70700073242188</v>
      </c>
      <c r="D210" s="15" t="n">
        <v>3892.5</v>
      </c>
      <c r="E210" s="16">
        <f>ROUND((B210/31.1034768)*D210, 2)</f>
        <v/>
      </c>
      <c r="F210" s="16">
        <f>ROUND((C210/31.1034768)*D210, 2)</f>
        <v/>
      </c>
      <c r="G210" s="17">
        <f>IFERROR((E210-E209)/E209, 0)</f>
        <v/>
      </c>
      <c r="H210" s="17">
        <f>IFERROR((F210-F209)/F209, 0)</f>
        <v/>
      </c>
    </row>
    <row r="211" ht="20" customHeight="1">
      <c r="A211" s="18" t="n">
        <v>45919</v>
      </c>
      <c r="B211" s="19" t="n">
        <v>3705.800048828125</v>
      </c>
      <c r="C211" s="19" t="n">
        <v>42.5359992980957</v>
      </c>
      <c r="D211" s="19" t="n">
        <v>3892.5</v>
      </c>
      <c r="E211" s="20">
        <f>ROUND((B211/31.1034768)*D211, 2)</f>
        <v/>
      </c>
      <c r="F211" s="20">
        <f>ROUND((C211/31.1034768)*D211, 2)</f>
        <v/>
      </c>
      <c r="G211" s="21">
        <f>IFERROR((E211-E210)/E210, 0)</f>
        <v/>
      </c>
      <c r="H211" s="21">
        <f>IFERROR((F211-F210)/F210, 0)</f>
        <v/>
      </c>
    </row>
    <row r="212" ht="20" customHeight="1">
      <c r="A212" s="14" t="n">
        <v>45921</v>
      </c>
      <c r="B212" s="15" t="n">
        <v>3705.800048828125</v>
      </c>
      <c r="C212" s="15" t="n">
        <v>42.5359992980957</v>
      </c>
      <c r="D212" s="15" t="n">
        <v>3898.89990234375</v>
      </c>
      <c r="E212" s="16">
        <f>ROUND((B212/31.1034768)*D212, 2)</f>
        <v/>
      </c>
      <c r="F212" s="16">
        <f>ROUND((C212/31.1034768)*D212, 2)</f>
        <v/>
      </c>
      <c r="G212" s="17">
        <f>IFERROR((E212-E211)/E211, 0)</f>
        <v/>
      </c>
      <c r="H212" s="17">
        <f>IFERROR((F212-F211)/F211, 0)</f>
        <v/>
      </c>
    </row>
    <row r="213" ht="20" customHeight="1">
      <c r="A213" s="18" t="n">
        <v>45922</v>
      </c>
      <c r="B213" s="19" t="n">
        <v>3775.10009765625</v>
      </c>
      <c r="C213" s="19" t="n">
        <v>43.79899978637695</v>
      </c>
      <c r="D213" s="19" t="n">
        <v>3851.199951171875</v>
      </c>
      <c r="E213" s="20">
        <f>ROUND((B213/31.1034768)*D213, 2)</f>
        <v/>
      </c>
      <c r="F213" s="20">
        <f>ROUND((C213/31.1034768)*D213, 2)</f>
        <v/>
      </c>
      <c r="G213" s="21">
        <f>IFERROR((E213-E212)/E212, 0)</f>
        <v/>
      </c>
      <c r="H213" s="21">
        <f>IFERROR((F213-F212)/F212, 0)</f>
        <v/>
      </c>
    </row>
    <row r="214" ht="20" customHeight="1">
      <c r="A214" s="14" t="n">
        <v>45923</v>
      </c>
      <c r="B214" s="15" t="n">
        <v>3815.699951171875</v>
      </c>
      <c r="C214" s="15" t="n">
        <v>44.19200134277344</v>
      </c>
      <c r="D214" s="15" t="n">
        <v>3860.25</v>
      </c>
      <c r="E214" s="16">
        <f>ROUND((B214/31.1034768)*D214, 2)</f>
        <v/>
      </c>
      <c r="F214" s="16">
        <f>ROUND((C214/31.1034768)*D214, 2)</f>
        <v/>
      </c>
      <c r="G214" s="17">
        <f>IFERROR((E214-E213)/E213, 0)</f>
        <v/>
      </c>
      <c r="H214" s="17">
        <f>IFERROR((F214-F213)/F213, 0)</f>
        <v/>
      </c>
    </row>
    <row r="215" ht="20" customHeight="1">
      <c r="A215" s="18" t="n">
        <v>45924</v>
      </c>
      <c r="B215" s="19" t="n">
        <v>3768.10009765625</v>
      </c>
      <c r="C215" s="19" t="n">
        <v>43.77700042724609</v>
      </c>
      <c r="D215" s="19" t="n">
        <v>3885.239990234375</v>
      </c>
      <c r="E215" s="20">
        <f>ROUND((B215/31.1034768)*D215, 2)</f>
        <v/>
      </c>
      <c r="F215" s="20">
        <f>ROUND((C215/31.1034768)*D215, 2)</f>
        <v/>
      </c>
      <c r="G215" s="21">
        <f>IFERROR((E215-E214)/E214, 0)</f>
        <v/>
      </c>
      <c r="H215" s="21">
        <f>IFERROR((F215-F214)/F214, 0)</f>
        <v/>
      </c>
    </row>
    <row r="216" ht="20" customHeight="1">
      <c r="A216" s="14" t="n">
        <v>45925</v>
      </c>
      <c r="B216" s="15" t="n">
        <v>3771.10009765625</v>
      </c>
      <c r="C216" s="15" t="n">
        <v>44.69699859619141</v>
      </c>
      <c r="D216" s="15" t="n">
        <v>3900.25</v>
      </c>
      <c r="E216" s="16">
        <f>ROUND((B216/31.1034768)*D216, 2)</f>
        <v/>
      </c>
      <c r="F216" s="16">
        <f>ROUND((C216/31.1034768)*D216, 2)</f>
        <v/>
      </c>
      <c r="G216" s="17">
        <f>IFERROR((E216-E215)/E215, 0)</f>
        <v/>
      </c>
      <c r="H216" s="17">
        <f>IFERROR((F216-F215)/F215, 0)</f>
        <v/>
      </c>
    </row>
    <row r="217" ht="20" customHeight="1">
      <c r="A217" s="18" t="n">
        <v>45926</v>
      </c>
      <c r="B217" s="19" t="n">
        <v>3809</v>
      </c>
      <c r="C217" s="19" t="n">
        <v>46.22100067138672</v>
      </c>
      <c r="D217" s="19" t="n">
        <v>3900.25</v>
      </c>
      <c r="E217" s="20">
        <f>ROUND((B217/31.1034768)*D217, 2)</f>
        <v/>
      </c>
      <c r="F217" s="20">
        <f>ROUND((C217/31.1034768)*D217, 2)</f>
        <v/>
      </c>
      <c r="G217" s="21">
        <f>IFERROR((E217-E216)/E216, 0)</f>
        <v/>
      </c>
      <c r="H217" s="21">
        <f>IFERROR((F217-F216)/F216, 0)</f>
        <v/>
      </c>
    </row>
    <row r="218" ht="20" customHeight="1">
      <c r="A218" s="14" t="n">
        <v>45928</v>
      </c>
      <c r="B218" s="15" t="n">
        <v>3809</v>
      </c>
      <c r="C218" s="15" t="n">
        <v>46.22100067138672</v>
      </c>
      <c r="D218" s="15" t="n">
        <v>3899.360107421875</v>
      </c>
      <c r="E218" s="16">
        <f>ROUND((B218/31.1034768)*D218, 2)</f>
        <v/>
      </c>
      <c r="F218" s="16">
        <f>ROUND((C218/31.1034768)*D218, 2)</f>
        <v/>
      </c>
      <c r="G218" s="17">
        <f>IFERROR((E218-E217)/E217, 0)</f>
        <v/>
      </c>
      <c r="H218" s="17">
        <f>IFERROR((F218-F217)/F217, 0)</f>
        <v/>
      </c>
    </row>
    <row r="219" ht="20" customHeight="1">
      <c r="A219" s="18" t="n">
        <v>45929</v>
      </c>
      <c r="B219" s="19" t="n">
        <v>3855.199951171875</v>
      </c>
      <c r="C219" s="19" t="n">
        <v>46.61199951171875</v>
      </c>
      <c r="D219" s="19" t="n">
        <v>3919</v>
      </c>
      <c r="E219" s="20">
        <f>ROUND((B219/31.1034768)*D219, 2)</f>
        <v/>
      </c>
      <c r="F219" s="20">
        <f>ROUND((C219/31.1034768)*D219, 2)</f>
        <v/>
      </c>
      <c r="G219" s="21">
        <f>IFERROR((E219-E218)/E218, 0)</f>
        <v/>
      </c>
      <c r="H219" s="21">
        <f>IFERROR((F219-F218)/F218, 0)</f>
        <v/>
      </c>
    </row>
    <row r="220" ht="20" customHeight="1">
      <c r="A220" s="14" t="n">
        <v>45930</v>
      </c>
      <c r="B220" s="15" t="n">
        <v>3873.199951171875</v>
      </c>
      <c r="C220" s="15" t="n">
        <v>46.25299835205078</v>
      </c>
      <c r="D220" s="15" t="n">
        <v>3924.75</v>
      </c>
      <c r="E220" s="16">
        <f>ROUND((B220/31.1034768)*D220, 2)</f>
        <v/>
      </c>
      <c r="F220" s="16">
        <f>ROUND((C220/31.1034768)*D220, 2)</f>
        <v/>
      </c>
      <c r="G220" s="17">
        <f>IFERROR((E220-E219)/E219, 0)</f>
        <v/>
      </c>
      <c r="H220" s="17">
        <f>IFERROR((F220-F219)/F219, 0)</f>
        <v/>
      </c>
    </row>
    <row r="221" ht="20" customHeight="1">
      <c r="A221" s="18" t="n">
        <v>45931</v>
      </c>
      <c r="B221" s="19" t="n">
        <v>3897.5</v>
      </c>
      <c r="C221" s="19" t="n">
        <v>47.29000091552734</v>
      </c>
      <c r="D221" s="19" t="n">
        <v>3878.760009765625</v>
      </c>
      <c r="E221" s="20">
        <f>ROUND((B221/31.1034768)*D221, 2)</f>
        <v/>
      </c>
      <c r="F221" s="20">
        <f>ROUND((C221/31.1034768)*D221, 2)</f>
        <v/>
      </c>
      <c r="G221" s="21">
        <f>IFERROR((E221-E220)/E220, 0)</f>
        <v/>
      </c>
      <c r="H221" s="21">
        <f>IFERROR((F221-F220)/F220, 0)</f>
        <v/>
      </c>
    </row>
    <row r="222" ht="20" customHeight="1">
      <c r="A222" s="14" t="n">
        <v>45932</v>
      </c>
      <c r="B222" s="15" t="n">
        <v>3868.10009765625</v>
      </c>
      <c r="C222" s="15" t="n">
        <v>46</v>
      </c>
      <c r="D222" s="15" t="n">
        <v>3884.1298828125</v>
      </c>
      <c r="E222" s="16">
        <f>ROUND((B222/31.1034768)*D222, 2)</f>
        <v/>
      </c>
      <c r="F222" s="16">
        <f>ROUND((C222/31.1034768)*D222, 2)</f>
        <v/>
      </c>
      <c r="G222" s="17">
        <f>IFERROR((E222-E221)/E221, 0)</f>
        <v/>
      </c>
      <c r="H222" s="17">
        <f>IFERROR((F222-F221)/F221, 0)</f>
        <v/>
      </c>
    </row>
    <row r="223" ht="20" customHeight="1">
      <c r="A223" s="18" t="n">
        <v>45933</v>
      </c>
      <c r="B223" s="19" t="n">
        <v>3908.89990234375</v>
      </c>
      <c r="C223" s="19" t="n">
        <v>47.59700012207031</v>
      </c>
      <c r="D223" s="19" t="n">
        <v>3884.1298828125</v>
      </c>
      <c r="E223" s="20">
        <f>ROUND((B223/31.1034768)*D223, 2)</f>
        <v/>
      </c>
      <c r="F223" s="20">
        <f>ROUND((C223/31.1034768)*D223, 2)</f>
        <v/>
      </c>
      <c r="G223" s="21">
        <f>IFERROR((E223-E222)/E222, 0)</f>
        <v/>
      </c>
      <c r="H223" s="21">
        <f>IFERROR((F223-F222)/F222, 0)</f>
        <v/>
      </c>
    </row>
    <row r="224" ht="20" customHeight="1">
      <c r="A224" s="14" t="n">
        <v>45935</v>
      </c>
      <c r="B224" s="15" t="n">
        <v>3908.89990234375</v>
      </c>
      <c r="C224" s="15" t="n">
        <v>47.59700012207031</v>
      </c>
      <c r="D224" s="15" t="n">
        <v>3882.409912109375</v>
      </c>
      <c r="E224" s="16">
        <f>ROUND((B224/31.1034768)*D224, 2)</f>
        <v/>
      </c>
      <c r="F224" s="16">
        <f>ROUND((C224/31.1034768)*D224, 2)</f>
        <v/>
      </c>
      <c r="G224" s="17">
        <f>IFERROR((E224-E223)/E223, 0)</f>
        <v/>
      </c>
      <c r="H224" s="17">
        <f>IFERROR((F224-F223)/F223, 0)</f>
        <v/>
      </c>
    </row>
    <row r="225" ht="20" customHeight="1">
      <c r="A225" s="18" t="n">
        <v>45936</v>
      </c>
      <c r="B225" s="19" t="n">
        <v>3976.300048828125</v>
      </c>
      <c r="C225" s="19" t="n">
        <v>48.08200073242188</v>
      </c>
      <c r="D225" s="19" t="n">
        <v>3861.949951171875</v>
      </c>
      <c r="E225" s="20">
        <f>ROUND((B225/31.1034768)*D225, 2)</f>
        <v/>
      </c>
      <c r="F225" s="20">
        <f>ROUND((C225/31.1034768)*D225, 2)</f>
        <v/>
      </c>
      <c r="G225" s="21">
        <f>IFERROR((E225-E224)/E224, 0)</f>
        <v/>
      </c>
      <c r="H225" s="21">
        <f>IFERROR((F225-F224)/F224, 0)</f>
        <v/>
      </c>
    </row>
    <row r="226" ht="20" customHeight="1">
      <c r="A226" s="14" t="n">
        <v>45937</v>
      </c>
      <c r="B226" s="15" t="n">
        <v>4004.39990234375</v>
      </c>
      <c r="C226" s="15" t="n">
        <v>47.17900085449219</v>
      </c>
      <c r="D226" s="15" t="n">
        <v>3874.75</v>
      </c>
      <c r="E226" s="16">
        <f>ROUND((B226/31.1034768)*D226, 2)</f>
        <v/>
      </c>
      <c r="F226" s="16">
        <f>ROUND((C226/31.1034768)*D226, 2)</f>
        <v/>
      </c>
      <c r="G226" s="17">
        <f>IFERROR((E226-E225)/E225, 0)</f>
        <v/>
      </c>
      <c r="H226" s="17">
        <f>IFERROR((F226-F225)/F225, 0)</f>
        <v/>
      </c>
    </row>
    <row r="227" ht="20" customHeight="1">
      <c r="A227" s="18" t="n">
        <v>45938</v>
      </c>
      <c r="B227" s="19" t="n">
        <v>4070.5</v>
      </c>
      <c r="C227" s="19" t="n">
        <v>48.65599822998047</v>
      </c>
      <c r="D227" s="19" t="n">
        <v>3887.5</v>
      </c>
      <c r="E227" s="20">
        <f>ROUND((B227/31.1034768)*D227, 2)</f>
        <v/>
      </c>
      <c r="F227" s="20">
        <f>ROUND((C227/31.1034768)*D227, 2)</f>
        <v/>
      </c>
      <c r="G227" s="21">
        <f>IFERROR((E227-E226)/E226, 0)</f>
        <v/>
      </c>
      <c r="H227" s="21">
        <f>IFERROR((F227-F226)/F226, 0)</f>
        <v/>
      </c>
    </row>
    <row r="228" ht="20" customHeight="1">
      <c r="A228" s="14" t="n">
        <v>45939</v>
      </c>
      <c r="B228" s="15" t="n">
        <v>3972.60009765625</v>
      </c>
      <c r="C228" s="15" t="n">
        <v>46.84999847412109</v>
      </c>
      <c r="D228" s="15" t="n">
        <v>3887.8798828125</v>
      </c>
      <c r="E228" s="16">
        <f>ROUND((B228/31.1034768)*D228, 2)</f>
        <v/>
      </c>
      <c r="F228" s="16">
        <f>ROUND((C228/31.1034768)*D228, 2)</f>
        <v/>
      </c>
      <c r="G228" s="17">
        <f>IFERROR((E228-E227)/E227, 0)</f>
        <v/>
      </c>
      <c r="H228" s="17">
        <f>IFERROR((F228-F227)/F227, 0)</f>
        <v/>
      </c>
    </row>
    <row r="229" ht="20" customHeight="1">
      <c r="A229" s="18" t="n">
        <v>45940</v>
      </c>
      <c r="B229" s="19" t="n">
        <v>4000.39990234375</v>
      </c>
      <c r="C229" s="19" t="n">
        <v>46.9379997253418</v>
      </c>
      <c r="D229" s="19" t="n">
        <v>3887.8798828125</v>
      </c>
      <c r="E229" s="20">
        <f>ROUND((B229/31.1034768)*D229, 2)</f>
        <v/>
      </c>
      <c r="F229" s="20">
        <f>ROUND((C229/31.1034768)*D229, 2)</f>
        <v/>
      </c>
      <c r="G229" s="21">
        <f>IFERROR((E229-E228)/E228, 0)</f>
        <v/>
      </c>
      <c r="H229" s="21">
        <f>IFERROR((F229-F228)/F228, 0)</f>
        <v/>
      </c>
    </row>
    <row r="230" ht="20" customHeight="1">
      <c r="A230" s="14" t="n">
        <v>45942</v>
      </c>
      <c r="B230" s="15" t="n">
        <v>4000.39990234375</v>
      </c>
      <c r="C230" s="15" t="n">
        <v>46.9379997253418</v>
      </c>
      <c r="D230" s="15" t="n">
        <v>3872.22998046875</v>
      </c>
      <c r="E230" s="16">
        <f>ROUND((B230/31.1034768)*D230, 2)</f>
        <v/>
      </c>
      <c r="F230" s="16">
        <f>ROUND((C230/31.1034768)*D230, 2)</f>
        <v/>
      </c>
      <c r="G230" s="17">
        <f>IFERROR((E230-E229)/E229, 0)</f>
        <v/>
      </c>
      <c r="H230" s="17">
        <f>IFERROR((F230-F229)/F229, 0)</f>
        <v/>
      </c>
    </row>
    <row r="231" ht="20" customHeight="1">
      <c r="A231" s="18" t="n">
        <v>45943</v>
      </c>
      <c r="B231" s="19" t="n">
        <v>4133</v>
      </c>
      <c r="C231" s="19" t="n">
        <v>50.13000106811523</v>
      </c>
      <c r="D231" s="19" t="n">
        <v>3884.552734375</v>
      </c>
      <c r="E231" s="20">
        <f>ROUND((B231/31.1034768)*D231, 2)</f>
        <v/>
      </c>
      <c r="F231" s="20">
        <f>ROUND((C231/31.1034768)*D231, 2)</f>
        <v/>
      </c>
      <c r="G231" s="21">
        <f>IFERROR((E231-E230)/E230, 0)</f>
        <v/>
      </c>
      <c r="H231" s="21">
        <f>IFERROR((F231-F230)/F230, 0)</f>
        <v/>
      </c>
    </row>
    <row r="232" ht="20" customHeight="1">
      <c r="A232" s="14" t="n">
        <v>45944</v>
      </c>
      <c r="B232" s="15" t="n">
        <v>4163.39990234375</v>
      </c>
      <c r="C232" s="15" t="n">
        <v>50.31399917602539</v>
      </c>
      <c r="D232" s="15" t="n">
        <v>3923.5</v>
      </c>
      <c r="E232" s="16">
        <f>ROUND((B232/31.1034768)*D232, 2)</f>
        <v/>
      </c>
      <c r="F232" s="16">
        <f>ROUND((C232/31.1034768)*D232, 2)</f>
        <v/>
      </c>
      <c r="G232" s="17">
        <f>IFERROR((E232-E231)/E231, 0)</f>
        <v/>
      </c>
      <c r="H232" s="17">
        <f>IFERROR((F232-F231)/F231, 0)</f>
        <v/>
      </c>
    </row>
    <row r="233" ht="20" customHeight="1">
      <c r="A233" s="18" t="n">
        <v>45945</v>
      </c>
      <c r="B233" s="19" t="n">
        <v>4201.60009765625</v>
      </c>
      <c r="C233" s="19" t="n">
        <v>51.07300186157227</v>
      </c>
      <c r="D233" s="19" t="n">
        <v>3889.699951171875</v>
      </c>
      <c r="E233" s="20">
        <f>ROUND((B233/31.1034768)*D233, 2)</f>
        <v/>
      </c>
      <c r="F233" s="20">
        <f>ROUND((C233/31.1034768)*D233, 2)</f>
        <v/>
      </c>
      <c r="G233" s="21">
        <f>IFERROR((E233-E232)/E232, 0)</f>
        <v/>
      </c>
      <c r="H233" s="21">
        <f>IFERROR((F233-F232)/F232, 0)</f>
        <v/>
      </c>
    </row>
    <row r="234" ht="20" customHeight="1">
      <c r="A234" s="14" t="n">
        <v>45946</v>
      </c>
      <c r="B234" s="15" t="n">
        <v>4304.60009765625</v>
      </c>
      <c r="C234" s="15" t="n">
        <v>53.02299880981445</v>
      </c>
      <c r="D234" s="15" t="n">
        <v>3860.75</v>
      </c>
      <c r="E234" s="16">
        <f>ROUND((B234/31.1034768)*D234, 2)</f>
        <v/>
      </c>
      <c r="F234" s="16">
        <f>ROUND((C234/31.1034768)*D234, 2)</f>
        <v/>
      </c>
      <c r="G234" s="17">
        <f>IFERROR((E234-E233)/E233, 0)</f>
        <v/>
      </c>
      <c r="H234" s="17">
        <f>IFERROR((F234-F233)/F233, 0)</f>
        <v/>
      </c>
    </row>
    <row r="235" ht="20" customHeight="1">
      <c r="A235" s="18" t="n">
        <v>45947</v>
      </c>
      <c r="B235" s="19" t="n">
        <v>4213.2998046875</v>
      </c>
      <c r="C235" s="19" t="n">
        <v>49.86399841308594</v>
      </c>
      <c r="D235" s="19" t="n">
        <v>3860.75</v>
      </c>
      <c r="E235" s="20">
        <f>ROUND((B235/31.1034768)*D235, 2)</f>
        <v/>
      </c>
      <c r="F235" s="20">
        <f>ROUND((C235/31.1034768)*D235, 2)</f>
        <v/>
      </c>
      <c r="G235" s="21">
        <f>IFERROR((E235-E234)/E234, 0)</f>
        <v/>
      </c>
      <c r="H235" s="21">
        <f>IFERROR((F235-F234)/F234, 0)</f>
        <v/>
      </c>
    </row>
    <row r="236" ht="20" customHeight="1">
      <c r="A236" s="14" t="n">
        <v>45949</v>
      </c>
      <c r="B236" s="15" t="n">
        <v>4213.2998046875</v>
      </c>
      <c r="C236" s="15" t="n">
        <v>49.86399841308594</v>
      </c>
      <c r="D236" s="15" t="n">
        <v>3854.9599609375</v>
      </c>
      <c r="E236" s="16">
        <f>ROUND((B236/31.1034768)*D236, 2)</f>
        <v/>
      </c>
      <c r="F236" s="16">
        <f>ROUND((C236/31.1034768)*D236, 2)</f>
        <v/>
      </c>
      <c r="G236" s="17">
        <f>IFERROR((E236-E235)/E235, 0)</f>
        <v/>
      </c>
      <c r="H236" s="17">
        <f>IFERROR((F236-F235)/F235, 0)</f>
        <v/>
      </c>
    </row>
    <row r="237" ht="20" customHeight="1">
      <c r="A237" s="18" t="n">
        <v>45950</v>
      </c>
      <c r="B237" s="19" t="n">
        <v>4359.39990234375</v>
      </c>
      <c r="C237" s="19" t="n">
        <v>51.11899948120117</v>
      </c>
      <c r="D237" s="19" t="n">
        <v>3881.75</v>
      </c>
      <c r="E237" s="20">
        <f>ROUND((B237/31.1034768)*D237, 2)</f>
        <v/>
      </c>
      <c r="F237" s="20">
        <f>ROUND((C237/31.1034768)*D237, 2)</f>
        <v/>
      </c>
      <c r="G237" s="21">
        <f>IFERROR((E237-E236)/E236, 0)</f>
        <v/>
      </c>
      <c r="H237" s="21">
        <f>IFERROR((F237-F236)/F236, 0)</f>
        <v/>
      </c>
    </row>
    <row r="238" ht="20" customHeight="1">
      <c r="A238" s="14" t="n">
        <v>45951</v>
      </c>
      <c r="B238" s="15" t="n">
        <v>4109.10009765625</v>
      </c>
      <c r="C238" s="15" t="n">
        <v>47.45000076293945</v>
      </c>
      <c r="D238" s="15" t="n">
        <v>3882</v>
      </c>
      <c r="E238" s="16">
        <f>ROUND((B238/31.1034768)*D238, 2)</f>
        <v/>
      </c>
      <c r="F238" s="16">
        <f>ROUND((C238/31.1034768)*D238, 2)</f>
        <v/>
      </c>
      <c r="G238" s="17">
        <f>IFERROR((E238-E237)/E237, 0)</f>
        <v/>
      </c>
      <c r="H238" s="17">
        <f>IFERROR((F238-F237)/F237, 0)</f>
        <v/>
      </c>
    </row>
    <row r="239" ht="20" customHeight="1">
      <c r="A239" s="18" t="n">
        <v>45952</v>
      </c>
      <c r="B239" s="19" t="n">
        <v>4065.39990234375</v>
      </c>
      <c r="C239" s="19" t="n">
        <v>47.46099853515625</v>
      </c>
      <c r="D239" s="19" t="n">
        <v>3909.449951171875</v>
      </c>
      <c r="E239" s="20">
        <f>ROUND((B239/31.1034768)*D239, 2)</f>
        <v/>
      </c>
      <c r="F239" s="20">
        <f>ROUND((C239/31.1034768)*D239, 2)</f>
        <v/>
      </c>
      <c r="G239" s="21">
        <f>IFERROR((E239-E238)/E238, 0)</f>
        <v/>
      </c>
      <c r="H239" s="21">
        <f>IFERROR((F239-F238)/F238, 0)</f>
        <v/>
      </c>
    </row>
    <row r="240" ht="20" customHeight="1">
      <c r="A240" s="14" t="n">
        <v>45953</v>
      </c>
      <c r="B240" s="15" t="n">
        <v>4145.60009765625</v>
      </c>
      <c r="C240" s="15" t="n">
        <v>48.48199844360352</v>
      </c>
      <c r="D240" s="15" t="n">
        <v>3878.550048828125</v>
      </c>
      <c r="E240" s="16">
        <f>ROUND((B240/31.1034768)*D240, 2)</f>
        <v/>
      </c>
      <c r="F240" s="16">
        <f>ROUND((C240/31.1034768)*D240, 2)</f>
        <v/>
      </c>
      <c r="G240" s="17">
        <f>IFERROR((E240-E239)/E239, 0)</f>
        <v/>
      </c>
      <c r="H240" s="17">
        <f>IFERROR((F240-F239)/F239, 0)</f>
        <v/>
      </c>
    </row>
    <row r="241" ht="20" customHeight="1">
      <c r="A241" s="18" t="n">
        <v>45954</v>
      </c>
      <c r="B241" s="19" t="n">
        <v>4137.7998046875</v>
      </c>
      <c r="C241" s="19" t="n">
        <v>48.37699890136719</v>
      </c>
      <c r="D241" s="19" t="n">
        <v>3878.550048828125</v>
      </c>
      <c r="E241" s="20">
        <f>ROUND((B241/31.1034768)*D241, 2)</f>
        <v/>
      </c>
      <c r="F241" s="20">
        <f>ROUND((C241/31.1034768)*D241, 2)</f>
        <v/>
      </c>
      <c r="G241" s="21">
        <f>IFERROR((E241-E240)/E240, 0)</f>
        <v/>
      </c>
      <c r="H241" s="21">
        <f>IFERROR((F241-F240)/F240, 0)</f>
        <v/>
      </c>
    </row>
    <row r="242" ht="20" customHeight="1">
      <c r="A242" s="14" t="n">
        <v>45957</v>
      </c>
      <c r="B242" s="15" t="n">
        <v>4019.699951171875</v>
      </c>
      <c r="C242" s="15" t="n">
        <v>46.5620002746582</v>
      </c>
      <c r="D242" s="15" t="n">
        <v>3838.461181640625</v>
      </c>
      <c r="E242" s="16">
        <f>ROUND((B242/31.1034768)*D242, 2)</f>
        <v/>
      </c>
      <c r="F242" s="16">
        <f>ROUND((C242/31.1034768)*D242, 2)</f>
        <v/>
      </c>
      <c r="G242" s="17">
        <f>IFERROR((E242-E241)/E241, 0)</f>
        <v/>
      </c>
      <c r="H242" s="17">
        <f>IFERROR((F242-F241)/F241, 0)</f>
        <v/>
      </c>
    </row>
    <row r="243" ht="20" customHeight="1">
      <c r="A243" s="18" t="n">
        <v>45958</v>
      </c>
      <c r="B243" s="19" t="n">
        <v>3983.10009765625</v>
      </c>
      <c r="C243" s="19" t="n">
        <v>47.125</v>
      </c>
      <c r="D243" s="19" t="n">
        <v>3843.6298828125</v>
      </c>
      <c r="E243" s="20">
        <f>ROUND((B243/31.1034768)*D243, 2)</f>
        <v/>
      </c>
      <c r="F243" s="20">
        <f>ROUND((C243/31.1034768)*D243, 2)</f>
        <v/>
      </c>
      <c r="G243" s="21">
        <f>IFERROR((E243-E242)/E242, 0)</f>
        <v/>
      </c>
      <c r="H243" s="21">
        <f>IFERROR((F243-F242)/F242, 0)</f>
        <v/>
      </c>
    </row>
    <row r="244" ht="20" customHeight="1">
      <c r="A244" s="14" t="n">
        <v>45959</v>
      </c>
      <c r="B244" s="15" t="n">
        <v>4000.699951171875</v>
      </c>
      <c r="C244" s="15" t="n">
        <v>47.72100067138672</v>
      </c>
      <c r="D244" s="15" t="n">
        <v>3887.469970703125</v>
      </c>
      <c r="E244" s="16">
        <f>ROUND((B244/31.1034768)*D244, 2)</f>
        <v/>
      </c>
      <c r="F244" s="16">
        <f>ROUND((C244/31.1034768)*D244, 2)</f>
        <v/>
      </c>
      <c r="G244" s="17">
        <f>IFERROR((E244-E243)/E243, 0)</f>
        <v/>
      </c>
      <c r="H244" s="17">
        <f>IFERROR((F244-F243)/F243, 0)</f>
        <v/>
      </c>
    </row>
    <row r="245" ht="20" customHeight="1">
      <c r="A245" s="18" t="n">
        <v>45960</v>
      </c>
      <c r="B245" s="19" t="n">
        <v>4015.89990234375</v>
      </c>
      <c r="C245" s="19" t="n">
        <v>48.42800140380859</v>
      </c>
      <c r="D245" s="19" t="n">
        <v>3875.75</v>
      </c>
      <c r="E245" s="20">
        <f>ROUND((B245/31.1034768)*D245, 2)</f>
        <v/>
      </c>
      <c r="F245" s="20">
        <f>ROUND((C245/31.1034768)*D245, 2)</f>
        <v/>
      </c>
      <c r="G245" s="21">
        <f>IFERROR((E245-E244)/E244, 0)</f>
        <v/>
      </c>
      <c r="H245" s="21">
        <f>IFERROR((F245-F244)/F244, 0)</f>
        <v/>
      </c>
    </row>
    <row r="246" ht="20" customHeight="1">
      <c r="A246" s="14" t="n">
        <v>45961</v>
      </c>
      <c r="B246" s="15" t="n">
        <v>3996.5</v>
      </c>
      <c r="C246" s="15" t="n">
        <v>47.99399948120117</v>
      </c>
      <c r="D246" s="15" t="n">
        <v>3858.449951171875</v>
      </c>
      <c r="E246" s="16">
        <f>ROUND((B246/31.1034768)*D246, 2)</f>
        <v/>
      </c>
      <c r="F246" s="16">
        <f>ROUND((C246/31.1034768)*D246, 2)</f>
        <v/>
      </c>
      <c r="G246" s="17">
        <f>IFERROR((E246-E245)/E245, 0)</f>
        <v/>
      </c>
      <c r="H246" s="17">
        <f>IFERROR((F246-F245)/F245, 0)</f>
        <v/>
      </c>
    </row>
    <row r="247" ht="20" customHeight="1">
      <c r="A247" s="18" t="n">
        <v>45964</v>
      </c>
      <c r="B247" s="19" t="n">
        <v>4014</v>
      </c>
      <c r="C247" s="19" t="n">
        <v>47.88800048828125</v>
      </c>
      <c r="D247" s="19" t="n">
        <v>3808.69873046875</v>
      </c>
      <c r="E247" s="20">
        <f>ROUND((B247/31.1034768)*D247, 2)</f>
        <v/>
      </c>
      <c r="F247" s="20">
        <f>ROUND((C247/31.1034768)*D247, 2)</f>
        <v/>
      </c>
      <c r="G247" s="21">
        <f>IFERROR((E247-E246)/E246, 0)</f>
        <v/>
      </c>
      <c r="H247" s="21">
        <f>IFERROR((F247-F246)/F246, 0)</f>
        <v/>
      </c>
    </row>
    <row r="248" ht="20" customHeight="1">
      <c r="A248" s="14" t="n">
        <v>45965</v>
      </c>
      <c r="B248" s="15" t="n">
        <v>3960.5</v>
      </c>
      <c r="C248" s="15" t="n">
        <v>47.13000106811523</v>
      </c>
      <c r="D248" s="15" t="n">
        <v>3855</v>
      </c>
      <c r="E248" s="16">
        <f>ROUND((B248/31.1034768)*D248, 2)</f>
        <v/>
      </c>
      <c r="F248" s="16">
        <f>ROUND((C248/31.1034768)*D248, 2)</f>
        <v/>
      </c>
      <c r="G248" s="17">
        <f>IFERROR((E248-E247)/E247, 0)</f>
        <v/>
      </c>
      <c r="H248" s="17">
        <f>IFERROR((F248-F247)/F247, 0)</f>
        <v/>
      </c>
    </row>
    <row r="249" ht="20" customHeight="1">
      <c r="A249" s="18" t="n">
        <v>45966</v>
      </c>
      <c r="B249" s="19" t="n">
        <v>3992.89990234375</v>
      </c>
      <c r="C249" s="19" t="n">
        <v>47.86299896240234</v>
      </c>
      <c r="D249" s="19" t="n">
        <v>3860.239990234375</v>
      </c>
      <c r="E249" s="20">
        <f>ROUND((B249/31.1034768)*D249, 2)</f>
        <v/>
      </c>
      <c r="F249" s="20">
        <f>ROUND((C249/31.1034768)*D249, 2)</f>
        <v/>
      </c>
      <c r="G249" s="21">
        <f>IFERROR((E249-E248)/E248, 0)</f>
        <v/>
      </c>
      <c r="H249" s="21">
        <f>IFERROR((F249-F248)/F248, 0)</f>
        <v/>
      </c>
    </row>
    <row r="250" ht="20" customHeight="1">
      <c r="A250" s="14" t="n">
        <v>45967</v>
      </c>
      <c r="B250" s="15" t="n">
        <v>3991</v>
      </c>
      <c r="C250" s="15" t="n">
        <v>47.79399871826172</v>
      </c>
      <c r="D250" s="15" t="n">
        <v>3832.75</v>
      </c>
      <c r="E250" s="16">
        <f>ROUND((B250/31.1034768)*D250, 2)</f>
        <v/>
      </c>
      <c r="F250" s="16">
        <f>ROUND((C250/31.1034768)*D250, 2)</f>
        <v/>
      </c>
      <c r="G250" s="17">
        <f>IFERROR((E250-E249)/E249, 0)</f>
        <v/>
      </c>
      <c r="H250" s="17">
        <f>IFERROR((F250-F249)/F249, 0)</f>
        <v/>
      </c>
    </row>
    <row r="251" ht="20" customHeight="1">
      <c r="A251" s="18" t="n">
        <v>45968</v>
      </c>
      <c r="B251" s="19" t="n">
        <v>4009.800048828125</v>
      </c>
      <c r="C251" s="19" t="n">
        <v>48.01699829101562</v>
      </c>
      <c r="D251" s="19" t="n">
        <v>3784.14990234375</v>
      </c>
      <c r="E251" s="20">
        <f>ROUND((B251/31.1034768)*D251, 2)</f>
        <v/>
      </c>
      <c r="F251" s="20">
        <f>ROUND((C251/31.1034768)*D251, 2)</f>
        <v/>
      </c>
      <c r="G251" s="21">
        <f>IFERROR((E251-E250)/E250, 0)</f>
        <v/>
      </c>
      <c r="H251" s="21">
        <f>IFERROR((F251-F250)/F250, 0)</f>
        <v/>
      </c>
    </row>
    <row r="252" ht="20" customHeight="1">
      <c r="A252" s="14" t="n">
        <v>45971</v>
      </c>
      <c r="B252" s="15" t="n">
        <v>4122</v>
      </c>
      <c r="C252" s="15" t="n">
        <v>50.17699813842773</v>
      </c>
      <c r="D252" s="15" t="n">
        <v>3737.105712890625</v>
      </c>
      <c r="E252" s="16">
        <f>ROUND((B252/31.1034768)*D252, 2)</f>
        <v/>
      </c>
      <c r="F252" s="16">
        <f>ROUND((C252/31.1034768)*D252, 2)</f>
        <v/>
      </c>
      <c r="G252" s="17">
        <f>IFERROR((E252-E251)/E251, 0)</f>
        <v/>
      </c>
      <c r="H252" s="17">
        <f>IFERROR((F252-F251)/F251, 0)</f>
        <v/>
      </c>
    </row>
    <row r="253" ht="20" customHeight="1">
      <c r="A253" s="18" t="n">
        <v>45972</v>
      </c>
      <c r="B253" s="19" t="n">
        <v>4116.2998046875</v>
      </c>
      <c r="C253" s="19" t="n">
        <v>50.61800003051758</v>
      </c>
      <c r="D253" s="19" t="n">
        <v>3751.969970703125</v>
      </c>
      <c r="E253" s="20">
        <f>ROUND((B253/31.1034768)*D253, 2)</f>
        <v/>
      </c>
      <c r="F253" s="20">
        <f>ROUND((C253/31.1034768)*D253, 2)</f>
        <v/>
      </c>
      <c r="G253" s="21">
        <f>IFERROR((E253-E252)/E252, 0)</f>
        <v/>
      </c>
      <c r="H253" s="21">
        <f>IFERROR((F253-F252)/F252, 0)</f>
        <v/>
      </c>
    </row>
    <row r="254" ht="20" customHeight="1">
      <c r="A254" s="14" t="n">
        <v>45973</v>
      </c>
      <c r="B254" s="15" t="n">
        <v>4213.60009765625</v>
      </c>
      <c r="C254" s="15" t="n">
        <v>53.33200073242188</v>
      </c>
      <c r="D254" s="15" t="n">
        <v>3756.780029296875</v>
      </c>
      <c r="E254" s="16">
        <f>ROUND((B254/31.1034768)*D254, 2)</f>
        <v/>
      </c>
      <c r="F254" s="16">
        <f>ROUND((C254/31.1034768)*D254, 2)</f>
        <v/>
      </c>
      <c r="G254" s="17">
        <f>IFERROR((E254-E253)/E253, 0)</f>
        <v/>
      </c>
      <c r="H254" s="17">
        <f>IFERROR((F254-F253)/F253, 0)</f>
        <v/>
      </c>
    </row>
    <row r="255" ht="20" customHeight="1">
      <c r="A255" s="18" t="n">
        <v>45974</v>
      </c>
      <c r="B255" s="19" t="n">
        <v>4194.5</v>
      </c>
      <c r="C255" s="19" t="n">
        <v>53.07400131225586</v>
      </c>
      <c r="D255" s="19" t="n">
        <v>3705</v>
      </c>
      <c r="E255" s="20">
        <f>ROUND((B255/31.1034768)*D255, 2)</f>
        <v/>
      </c>
      <c r="F255" s="20">
        <f>ROUND((C255/31.1034768)*D255, 2)</f>
        <v/>
      </c>
      <c r="G255" s="21">
        <f>IFERROR((E255-E254)/E254, 0)</f>
        <v/>
      </c>
      <c r="H255" s="21">
        <f>IFERROR((F255-F254)/F254, 0)</f>
        <v/>
      </c>
    </row>
    <row r="256" ht="20" customHeight="1">
      <c r="A256" s="14" t="n">
        <v>45975</v>
      </c>
      <c r="B256" s="15" t="n">
        <v>4094.199951171875</v>
      </c>
      <c r="C256" s="15" t="n">
        <v>50.59000015258789</v>
      </c>
      <c r="D256" s="15" t="n">
        <v>3746.820068359375</v>
      </c>
      <c r="E256" s="16">
        <f>ROUND((B256/31.1034768)*D256, 2)</f>
        <v/>
      </c>
      <c r="F256" s="16">
        <f>ROUND((C256/31.1034768)*D256, 2)</f>
        <v/>
      </c>
      <c r="G256" s="17">
        <f>IFERROR((E256-E255)/E255, 0)</f>
        <v/>
      </c>
      <c r="H256" s="17">
        <f>IFERROR((F256-F255)/F255, 0)</f>
        <v/>
      </c>
    </row>
    <row r="257" ht="20" customHeight="1">
      <c r="A257" s="18" t="n">
        <v>45978</v>
      </c>
      <c r="B257" s="19" t="n">
        <v>4074.5</v>
      </c>
      <c r="C257" s="19" t="n">
        <v>50.625</v>
      </c>
      <c r="D257" s="19" t="n">
        <v>3701.26025390625</v>
      </c>
      <c r="E257" s="20">
        <f>ROUND((B257/31.1034768)*D257, 2)</f>
        <v/>
      </c>
      <c r="F257" s="20">
        <f>ROUND((C257/31.1034768)*D257, 2)</f>
        <v/>
      </c>
      <c r="G257" s="21">
        <f>IFERROR((E257-E256)/E256, 0)</f>
        <v/>
      </c>
      <c r="H257" s="21">
        <f>IFERROR((F257-F256)/F256, 0)</f>
        <v/>
      </c>
    </row>
    <row r="258" ht="20" customHeight="1">
      <c r="A258" s="14" t="n">
        <v>45979</v>
      </c>
      <c r="B258" s="15" t="n">
        <v>4066.5</v>
      </c>
      <c r="C258" s="15" t="n">
        <v>50.45000076293945</v>
      </c>
      <c r="D258" s="15" t="n">
        <v>3754.5</v>
      </c>
      <c r="E258" s="16">
        <f>ROUND((B258/31.1034768)*D258, 2)</f>
        <v/>
      </c>
      <c r="F258" s="16">
        <f>ROUND((C258/31.1034768)*D258, 2)</f>
        <v/>
      </c>
      <c r="G258" s="17">
        <f>IFERROR((E258-E257)/E257, 0)</f>
        <v/>
      </c>
      <c r="H258" s="17">
        <f>IFERROR((F258-F257)/F257, 0)</f>
        <v/>
      </c>
    </row>
    <row r="259" ht="20" customHeight="1">
      <c r="A259" s="18" t="n">
        <v>45980</v>
      </c>
      <c r="B259" s="19" t="n">
        <v>4082.800048828125</v>
      </c>
      <c r="C259" s="19" t="n">
        <v>50.79000091552734</v>
      </c>
      <c r="D259" s="19" t="n">
        <v>3719.800048828125</v>
      </c>
      <c r="E259" s="20">
        <f>ROUND((B259/31.1034768)*D259, 2)</f>
        <v/>
      </c>
      <c r="F259" s="20">
        <f>ROUND((C259/31.1034768)*D259, 2)</f>
        <v/>
      </c>
      <c r="G259" s="21">
        <f>IFERROR((E259-E258)/E258, 0)</f>
        <v/>
      </c>
      <c r="H259" s="21">
        <f>IFERROR((F259-F258)/F258, 0)</f>
        <v/>
      </c>
    </row>
    <row r="260" ht="20" customHeight="1">
      <c r="A260" s="14" t="n">
        <v>45981</v>
      </c>
      <c r="B260" s="15" t="n">
        <v>4060</v>
      </c>
      <c r="C260" s="15" t="n">
        <v>50.24700164794922</v>
      </c>
      <c r="D260" s="15" t="n">
        <v>3712.25</v>
      </c>
      <c r="E260" s="16">
        <f>ROUND((B260/31.1034768)*D260, 2)</f>
        <v/>
      </c>
      <c r="F260" s="16">
        <f>ROUND((C260/31.1034768)*D260, 2)</f>
        <v/>
      </c>
      <c r="G260" s="17">
        <f>IFERROR((E260-E259)/E259, 0)</f>
        <v/>
      </c>
      <c r="H260" s="17">
        <f>IFERROR((F260-F259)/F259, 0)</f>
        <v/>
      </c>
    </row>
    <row r="261" ht="20" customHeight="1">
      <c r="A261" s="18" t="n">
        <v>45982</v>
      </c>
      <c r="B261" s="19" t="n">
        <v>4079.5</v>
      </c>
      <c r="C261" s="19" t="n">
        <v>49.87300109863281</v>
      </c>
      <c r="D261" s="19" t="n">
        <v>3762.169921875</v>
      </c>
      <c r="E261" s="20">
        <f>ROUND((B261/31.1034768)*D261, 2)</f>
        <v/>
      </c>
      <c r="F261" s="20">
        <f>ROUND((C261/31.1034768)*D261, 2)</f>
        <v/>
      </c>
      <c r="G261" s="21">
        <f>IFERROR((E261-E260)/E260, 0)</f>
        <v/>
      </c>
      <c r="H261" s="21">
        <f>IFERROR((F261-F260)/F260, 0)</f>
        <v/>
      </c>
    </row>
    <row r="262" ht="20" customHeight="1">
      <c r="A262" s="14" t="n">
        <v>45985</v>
      </c>
      <c r="B262" s="15" t="n">
        <v>4094.199951171875</v>
      </c>
      <c r="C262" s="15" t="n">
        <v>50.29499816894531</v>
      </c>
      <c r="D262" s="15" t="n">
        <v>3717.585693359375</v>
      </c>
      <c r="E262" s="16">
        <f>ROUND((B262/31.1034768)*D262, 2)</f>
        <v/>
      </c>
      <c r="F262" s="16">
        <f>ROUND((C262/31.1034768)*D262, 2)</f>
        <v/>
      </c>
      <c r="G262" s="17">
        <f>IFERROR((E262-E261)/E261, 0)</f>
        <v/>
      </c>
      <c r="H262" s="17">
        <f>IFERROR((F262-F261)/F261, 0)</f>
        <v/>
      </c>
    </row>
    <row r="263" ht="20" customHeight="1">
      <c r="A263" s="18" t="n">
        <v>45986</v>
      </c>
      <c r="B263" s="19" t="n">
        <v>4140</v>
      </c>
      <c r="C263" s="19" t="n">
        <v>50.93399810791016</v>
      </c>
      <c r="D263" s="19" t="n">
        <v>3791.25</v>
      </c>
      <c r="E263" s="20">
        <f>ROUND((B263/31.1034768)*D263, 2)</f>
        <v/>
      </c>
      <c r="F263" s="20">
        <f>ROUND((C263/31.1034768)*D263, 2)</f>
        <v/>
      </c>
      <c r="G263" s="21">
        <f>IFERROR((E263-E262)/E262, 0)</f>
        <v/>
      </c>
      <c r="H263" s="21">
        <f>IFERROR((F263-F262)/F262, 0)</f>
        <v/>
      </c>
    </row>
    <row r="264" ht="20" customHeight="1">
      <c r="A264" s="14" t="n">
        <v>45987</v>
      </c>
      <c r="B264" s="15" t="n">
        <v>4165.2001953125</v>
      </c>
      <c r="C264" s="15" t="n">
        <v>52.91600036621094</v>
      </c>
      <c r="D264" s="15" t="n">
        <v>3802.89990234375</v>
      </c>
      <c r="E264" s="16">
        <f>ROUND((B264/31.1034768)*D264, 2)</f>
        <v/>
      </c>
      <c r="F264" s="16">
        <f>ROUND((C264/31.1034768)*D264, 2)</f>
        <v/>
      </c>
      <c r="G264" s="17">
        <f>IFERROR((E264-E263)/E263, 0)</f>
        <v/>
      </c>
      <c r="H264" s="17">
        <f>IFERROR((F264-F263)/F263, 0)</f>
        <v/>
      </c>
    </row>
    <row r="265" ht="20" customHeight="1">
      <c r="A265" s="18" t="n">
        <v>45988</v>
      </c>
      <c r="B265" s="19" t="n">
        <v>4165.2001953125</v>
      </c>
      <c r="C265" s="19" t="n">
        <v>52.91600036621094</v>
      </c>
      <c r="D265" s="19" t="n">
        <v>3734.6298828125</v>
      </c>
      <c r="E265" s="20">
        <f>ROUND((B265/31.1034768)*D265, 2)</f>
        <v/>
      </c>
      <c r="F265" s="20">
        <f>ROUND((C265/31.1034768)*D265, 2)</f>
        <v/>
      </c>
      <c r="G265" s="21">
        <f>IFERROR((E265-E264)/E264, 0)</f>
        <v/>
      </c>
      <c r="H265" s="21">
        <f>IFERROR((F265-F264)/F264, 0)</f>
        <v/>
      </c>
    </row>
    <row r="266" ht="20" customHeight="1">
      <c r="A266" s="14" t="n">
        <v>45989</v>
      </c>
      <c r="B266" s="15" t="n">
        <v>4254.89990234375</v>
      </c>
      <c r="C266" s="15" t="n">
        <v>56.44599914550781</v>
      </c>
      <c r="D266" s="15" t="n">
        <v>3743.8798828125</v>
      </c>
      <c r="E266" s="16">
        <f>ROUND((B266/31.1034768)*D266, 2)</f>
        <v/>
      </c>
      <c r="F266" s="16">
        <f>ROUND((C266/31.1034768)*D266, 2)</f>
        <v/>
      </c>
      <c r="G266" s="17">
        <f>IFERROR((E266-E265)/E265, 0)</f>
        <v/>
      </c>
      <c r="H266" s="17">
        <f>IFERROR((F266-F265)/F265, 0)</f>
        <v/>
      </c>
    </row>
    <row r="267" ht="20" customHeight="1">
      <c r="A267" s="18" t="n">
        <v>45992</v>
      </c>
      <c r="B267" s="19" t="n">
        <v>4274.7998046875</v>
      </c>
      <c r="C267" s="19" t="n">
        <v>58.41799926757812</v>
      </c>
      <c r="D267" s="19" t="n">
        <v>3691.856689453125</v>
      </c>
      <c r="E267" s="20">
        <f>ROUND((B267/31.1034768)*D267, 2)</f>
        <v/>
      </c>
      <c r="F267" s="20">
        <f>ROUND((C267/31.1034768)*D267, 2)</f>
        <v/>
      </c>
      <c r="G267" s="21">
        <f>IFERROR((E267-E266)/E266, 0)</f>
        <v/>
      </c>
      <c r="H267" s="21">
        <f>IFERROR((F267-F266)/F266, 0)</f>
        <v/>
      </c>
    </row>
    <row r="268" ht="20" customHeight="1">
      <c r="A268" s="14" t="n">
        <v>45993</v>
      </c>
      <c r="B268" s="15" t="n">
        <v>4220.7998046875</v>
      </c>
      <c r="C268" s="15" t="n">
        <v>57.98300170898438</v>
      </c>
      <c r="D268" s="15" t="n">
        <v>3808.39990234375</v>
      </c>
      <c r="E268" s="16">
        <f>ROUND((B268/31.1034768)*D268, 2)</f>
        <v/>
      </c>
      <c r="F268" s="16">
        <f>ROUND((C268/31.1034768)*D268, 2)</f>
        <v/>
      </c>
      <c r="G268" s="17">
        <f>IFERROR((E268-E267)/E267, 0)</f>
        <v/>
      </c>
      <c r="H268" s="17">
        <f>IFERROR((F268-F267)/F267, 0)</f>
        <v/>
      </c>
    </row>
    <row r="269" ht="20" customHeight="1">
      <c r="A269" s="18" t="n">
        <v>45994</v>
      </c>
      <c r="B269" s="19" t="n">
        <v>4232.5</v>
      </c>
      <c r="C269" s="19" t="n">
        <v>57.92100143432617</v>
      </c>
      <c r="D269" s="19" t="n">
        <v>3816.25</v>
      </c>
      <c r="E269" s="20">
        <f>ROUND((B269/31.1034768)*D269, 2)</f>
        <v/>
      </c>
      <c r="F269" s="20">
        <f>ROUND((C269/31.1034768)*D269, 2)</f>
        <v/>
      </c>
      <c r="G269" s="21">
        <f>IFERROR((E269-E268)/E268, 0)</f>
        <v/>
      </c>
      <c r="H269" s="21">
        <f>IFERROR((F269-F268)/F268, 0)</f>
        <v/>
      </c>
    </row>
    <row r="270" ht="20" customHeight="1">
      <c r="A270" s="14" t="n">
        <v>45995</v>
      </c>
      <c r="B270" s="15" t="n">
        <v>4243</v>
      </c>
      <c r="C270" s="15" t="n">
        <v>56.84700012207031</v>
      </c>
      <c r="D270" s="15" t="n">
        <v>3768.14990234375</v>
      </c>
      <c r="E270" s="16">
        <f>ROUND((B270/31.1034768)*D270, 2)</f>
        <v/>
      </c>
      <c r="F270" s="16">
        <f>ROUND((C270/31.1034768)*D270, 2)</f>
        <v/>
      </c>
      <c r="G270" s="17">
        <f>IFERROR((E270-E269)/E269, 0)</f>
        <v/>
      </c>
      <c r="H270" s="17">
        <f>IFERROR((F270-F269)/F269, 0)</f>
        <v/>
      </c>
    </row>
    <row r="271" ht="20" customHeight="1">
      <c r="A271" s="18" t="n">
        <v>45996</v>
      </c>
      <c r="B271" s="19" t="n">
        <v>4243</v>
      </c>
      <c r="C271" s="19" t="n">
        <v>58.42200088500977</v>
      </c>
      <c r="D271" s="19" t="n">
        <v>3795.239990234375</v>
      </c>
      <c r="E271" s="20">
        <f>ROUND((B271/31.1034768)*D271, 2)</f>
        <v/>
      </c>
      <c r="F271" s="20">
        <f>ROUND((C271/31.1034768)*D271, 2)</f>
        <v/>
      </c>
      <c r="G271" s="21">
        <f>IFERROR((E271-E270)/E270, 0)</f>
        <v/>
      </c>
      <c r="H271" s="21">
        <f>IFERROR((F271-F270)/F270, 0)</f>
        <v/>
      </c>
    </row>
    <row r="272" ht="20" customHeight="1">
      <c r="A272" s="14" t="n">
        <v>45999</v>
      </c>
      <c r="B272" s="15" t="n">
        <v>4217.7001953125</v>
      </c>
      <c r="C272" s="15" t="n">
        <v>57.77899932861328</v>
      </c>
      <c r="D272" s="15" t="n">
        <v>3755.67138671875</v>
      </c>
      <c r="E272" s="16">
        <f>ROUND((B272/31.1034768)*D272, 2)</f>
        <v/>
      </c>
      <c r="F272" s="16">
        <f>ROUND((C272/31.1034768)*D272, 2)</f>
        <v/>
      </c>
      <c r="G272" s="17">
        <f>IFERROR((E272-E271)/E271, 0)</f>
        <v/>
      </c>
      <c r="H272" s="17">
        <f>IFERROR((F272-F271)/F271, 0)</f>
        <v/>
      </c>
    </row>
    <row r="273" ht="20" customHeight="1">
      <c r="A273" s="18" t="n">
        <v>46000</v>
      </c>
      <c r="B273" s="19" t="n">
        <v>4236.2001953125</v>
      </c>
      <c r="C273" s="19" t="n">
        <v>60.16899871826172</v>
      </c>
      <c r="D273" s="19" t="n">
        <v>3840.860107421875</v>
      </c>
      <c r="E273" s="20">
        <f>ROUND((B273/31.1034768)*D273, 2)</f>
        <v/>
      </c>
      <c r="F273" s="20">
        <f>ROUND((C273/31.1034768)*D273, 2)</f>
        <v/>
      </c>
      <c r="G273" s="21">
        <f>IFERROR((E273-E272)/E272, 0)</f>
        <v/>
      </c>
      <c r="H273" s="21">
        <f>IFERROR((F273-F272)/F272, 0)</f>
        <v/>
      </c>
    </row>
    <row r="274" ht="20" customHeight="1">
      <c r="A274" s="14" t="n">
        <v>46001</v>
      </c>
      <c r="B274" s="15" t="n">
        <v>4224.7001953125</v>
      </c>
      <c r="C274" s="15" t="n">
        <v>60.37900161743164</v>
      </c>
      <c r="D274" s="15" t="n">
        <v>3856.6298828125</v>
      </c>
      <c r="E274" s="16">
        <f>ROUND((B274/31.1034768)*D274, 2)</f>
        <v/>
      </c>
      <c r="F274" s="16">
        <f>ROUND((C274/31.1034768)*D274, 2)</f>
        <v/>
      </c>
      <c r="G274" s="17">
        <f>IFERROR((E274-E273)/E273, 0)</f>
        <v/>
      </c>
      <c r="H274" s="17">
        <f>IFERROR((F274-F273)/F273, 0)</f>
        <v/>
      </c>
    </row>
    <row r="275" ht="20" customHeight="1">
      <c r="A275" s="18" t="n">
        <v>46002</v>
      </c>
      <c r="B275" s="19" t="n">
        <v>4313</v>
      </c>
      <c r="C275" s="19" t="n">
        <v>63.92900085449219</v>
      </c>
      <c r="D275" s="19" t="n">
        <v>3840.030029296875</v>
      </c>
      <c r="E275" s="20">
        <f>ROUND((B275/31.1034768)*D275, 2)</f>
        <v/>
      </c>
      <c r="F275" s="20">
        <f>ROUND((C275/31.1034768)*D275, 2)</f>
        <v/>
      </c>
      <c r="G275" s="21">
        <f>IFERROR((E275-E274)/E274, 0)</f>
        <v/>
      </c>
      <c r="H275" s="21">
        <f>IFERROR((F275-F274)/F274, 0)</f>
        <v/>
      </c>
    </row>
    <row r="276" ht="20" customHeight="1">
      <c r="A276" s="14" t="n">
        <v>46003</v>
      </c>
      <c r="B276" s="15" t="n">
        <v>4328.2998046875</v>
      </c>
      <c r="C276" s="15" t="n">
        <v>61.36199951171875</v>
      </c>
      <c r="D276" s="15" t="n">
        <v>3801.5</v>
      </c>
      <c r="E276" s="16">
        <f>ROUND((B276/31.1034768)*D276, 2)</f>
        <v/>
      </c>
      <c r="F276" s="16">
        <f>ROUND((C276/31.1034768)*D276, 2)</f>
        <v/>
      </c>
      <c r="G276" s="17">
        <f>IFERROR((E276-E275)/E275, 0)</f>
        <v/>
      </c>
      <c r="H276" s="17">
        <f>IFERROR((F276-F275)/F275, 0)</f>
        <v/>
      </c>
    </row>
    <row r="277" ht="20" customHeight="1">
      <c r="A277" s="18" t="n">
        <v>46006</v>
      </c>
      <c r="B277" s="19" t="n">
        <v>4335.2001953125</v>
      </c>
      <c r="C277" s="19" t="n">
        <v>62.93999862670898</v>
      </c>
      <c r="D277" s="19" t="n">
        <v>3759.907958984375</v>
      </c>
      <c r="E277" s="20">
        <f>ROUND((B277/31.1034768)*D277, 2)</f>
        <v/>
      </c>
      <c r="F277" s="20">
        <f>ROUND((C277/31.1034768)*D277, 2)</f>
        <v/>
      </c>
      <c r="G277" s="21">
        <f>IFERROR((E277-E276)/E276, 0)</f>
        <v/>
      </c>
      <c r="H277" s="21">
        <f>IFERROR((F277-F276)/F276, 0)</f>
        <v/>
      </c>
    </row>
    <row r="278" ht="20" customHeight="1">
      <c r="A278" s="14" t="n">
        <v>46007</v>
      </c>
      <c r="B278" s="15" t="n">
        <v>4332.2998046875</v>
      </c>
      <c r="C278" s="15" t="n">
        <v>62.70000076293945</v>
      </c>
      <c r="D278" s="15" t="n">
        <v>3818.070068359375</v>
      </c>
      <c r="E278" s="16">
        <f>ROUND((B278/31.1034768)*D278, 2)</f>
        <v/>
      </c>
      <c r="F278" s="16">
        <f>ROUND((C278/31.1034768)*D278, 2)</f>
        <v/>
      </c>
      <c r="G278" s="17">
        <f>IFERROR((E278-E277)/E277, 0)</f>
        <v/>
      </c>
      <c r="H278" s="17">
        <f>IFERROR((F278-F277)/F277, 0)</f>
        <v/>
      </c>
    </row>
    <row r="279" ht="20" customHeight="1">
      <c r="A279" s="18" t="n">
        <v>46008</v>
      </c>
      <c r="B279" s="19" t="n">
        <v>4373.89990234375</v>
      </c>
      <c r="C279" s="19" t="n">
        <v>66.23699951171875</v>
      </c>
      <c r="D279" s="19" t="n">
        <v>3839.22998046875</v>
      </c>
      <c r="E279" s="20">
        <f>ROUND((B279/31.1034768)*D279, 2)</f>
        <v/>
      </c>
      <c r="F279" s="20">
        <f>ROUND((C279/31.1034768)*D279, 2)</f>
        <v/>
      </c>
      <c r="G279" s="21">
        <f>IFERROR((E279-E278)/E278, 0)</f>
        <v/>
      </c>
      <c r="H279" s="21">
        <f>IFERROR((F279-F278)/F278, 0)</f>
        <v/>
      </c>
    </row>
    <row r="280" ht="20" customHeight="1">
      <c r="A280" s="14" t="n">
        <v>46009</v>
      </c>
      <c r="B280" s="15" t="n">
        <v>4364.5</v>
      </c>
      <c r="C280" s="15" t="n">
        <v>64.59200286865234</v>
      </c>
      <c r="D280" s="15" t="n">
        <v>3863.75</v>
      </c>
      <c r="E280" s="16">
        <f>ROUND((B280/31.1034768)*D280, 2)</f>
        <v/>
      </c>
      <c r="F280" s="16">
        <f>ROUND((C280/31.1034768)*D280, 2)</f>
        <v/>
      </c>
      <c r="G280" s="17">
        <f>IFERROR((E280-E279)/E279, 0)</f>
        <v/>
      </c>
      <c r="H280" s="17">
        <f>IFERROR((F280-F279)/F279, 0)</f>
        <v/>
      </c>
    </row>
    <row r="281" ht="20" customHeight="1">
      <c r="A281" s="18" t="n">
        <v>46010</v>
      </c>
      <c r="B281" s="19" t="n">
        <v>4387.2998046875</v>
      </c>
      <c r="C281" s="19" t="n">
        <v>66.84500122070312</v>
      </c>
      <c r="D281" s="19" t="n">
        <v>3861.9599609375</v>
      </c>
      <c r="E281" s="20">
        <f>ROUND((B281/31.1034768)*D281, 2)</f>
        <v/>
      </c>
      <c r="F281" s="20">
        <f>ROUND((C281/31.1034768)*D281, 2)</f>
        <v/>
      </c>
      <c r="G281" s="21">
        <f>IFERROR((E281-E280)/E280, 0)</f>
        <v/>
      </c>
      <c r="H281" s="21">
        <f>IFERROR((F281-F280)/F280, 0)</f>
        <v/>
      </c>
    </row>
    <row r="282" ht="20" customHeight="1">
      <c r="A282" s="14" t="n">
        <v>46013</v>
      </c>
      <c r="B282" s="15" t="n">
        <v>4469.39990234375</v>
      </c>
      <c r="C282" s="15" t="n">
        <v>67.90599822998047</v>
      </c>
      <c r="D282" s="15" t="n">
        <v>3817.51416015625</v>
      </c>
      <c r="E282" s="16">
        <f>ROUND((B282/31.1034768)*D282, 2)</f>
        <v/>
      </c>
      <c r="F282" s="16">
        <f>ROUND((C282/31.1034768)*D282, 2)</f>
        <v/>
      </c>
      <c r="G282" s="17">
        <f>IFERROR((E282-E281)/E281, 0)</f>
        <v/>
      </c>
      <c r="H282" s="17">
        <f>IFERROR((F282-F281)/F281, 0)</f>
        <v/>
      </c>
    </row>
    <row r="283" ht="20" customHeight="1">
      <c r="A283" s="18" t="n">
        <v>46014</v>
      </c>
      <c r="B283" s="19" t="n">
        <v>4505.7001953125</v>
      </c>
      <c r="C283" s="19" t="n">
        <v>70.48500061035156</v>
      </c>
      <c r="D283" s="19" t="n">
        <v>3801.2099609375</v>
      </c>
      <c r="E283" s="20">
        <f>ROUND((B283/31.1034768)*D283, 2)</f>
        <v/>
      </c>
      <c r="F283" s="20">
        <f>ROUND((C283/31.1034768)*D283, 2)</f>
        <v/>
      </c>
      <c r="G283" s="21">
        <f>IFERROR((E283-E282)/E282, 0)</f>
        <v/>
      </c>
      <c r="H283" s="21">
        <f>IFERROR((F283-F282)/F282, 0)</f>
        <v/>
      </c>
    </row>
    <row r="284" ht="20" customHeight="1">
      <c r="A284" s="14" t="n">
        <v>46015</v>
      </c>
      <c r="B284" s="15" t="n">
        <v>4502.7998046875</v>
      </c>
      <c r="C284" s="15" t="n">
        <v>71.03099822998047</v>
      </c>
      <c r="D284" s="15" t="n">
        <v>3754.330078125</v>
      </c>
      <c r="E284" s="16">
        <f>ROUND((B284/31.1034768)*D284, 2)</f>
        <v/>
      </c>
      <c r="F284" s="16">
        <f>ROUND((C284/31.1034768)*D284, 2)</f>
        <v/>
      </c>
      <c r="G284" s="17">
        <f>IFERROR((E284-E283)/E283, 0)</f>
        <v/>
      </c>
      <c r="H284" s="17">
        <f>IFERROR((F284-F283)/F283, 0)</f>
        <v/>
      </c>
    </row>
    <row r="285" ht="20" customHeight="1">
      <c r="A285" s="18" t="n">
        <v>46017</v>
      </c>
      <c r="B285" s="19" t="n">
        <v>4552.7001953125</v>
      </c>
      <c r="C285" s="19" t="n">
        <v>76.48600006103516</v>
      </c>
      <c r="D285" s="19" t="n">
        <v>3742.050048828125</v>
      </c>
      <c r="E285" s="20">
        <f>ROUND((B285/31.1034768)*D285, 2)</f>
        <v/>
      </c>
      <c r="F285" s="20">
        <f>ROUND((C285/31.1034768)*D285, 2)</f>
        <v/>
      </c>
      <c r="G285" s="21">
        <f>IFERROR((E285-E284)/E284, 0)</f>
        <v/>
      </c>
      <c r="H285" s="21">
        <f>IFERROR((F285-F284)/F284, 0)</f>
        <v/>
      </c>
    </row>
    <row r="286" ht="20" customHeight="1">
      <c r="A286" s="14" t="n">
        <v>46020</v>
      </c>
      <c r="B286" s="15" t="n">
        <v>4343.60009765625</v>
      </c>
      <c r="C286" s="15" t="n">
        <v>69.85600280761719</v>
      </c>
      <c r="D286" s="15" t="n">
        <v>3695.25</v>
      </c>
      <c r="E286" s="16">
        <f>ROUND((B286/31.1034768)*D286, 2)</f>
        <v/>
      </c>
      <c r="F286" s="16">
        <f>ROUND((C286/31.1034768)*D286, 2)</f>
        <v/>
      </c>
      <c r="G286" s="17">
        <f>IFERROR((E286-E285)/E285, 0)</f>
        <v/>
      </c>
      <c r="H286" s="17">
        <f>IFERROR((F286-F285)/F285, 0)</f>
        <v/>
      </c>
    </row>
    <row r="287" ht="20" customHeight="1">
      <c r="A287" s="18" t="n">
        <v>46021</v>
      </c>
      <c r="B287" s="19" t="n">
        <v>4386.2998046875</v>
      </c>
      <c r="C287" s="19" t="n">
        <v>77.37400054931641</v>
      </c>
      <c r="D287" s="19" t="n">
        <v>3729.39990234375</v>
      </c>
      <c r="E287" s="20">
        <f>ROUND((B287/31.1034768)*D287, 2)</f>
        <v/>
      </c>
      <c r="F287" s="20">
        <f>ROUND((C287/31.1034768)*D287, 2)</f>
        <v/>
      </c>
      <c r="G287" s="21">
        <f>IFERROR((E287-E286)/E286, 0)</f>
        <v/>
      </c>
      <c r="H287" s="21">
        <f>IFERROR((F287-F286)/F286, 0)</f>
        <v/>
      </c>
    </row>
    <row r="288" ht="20" customHeight="1">
      <c r="A288" s="14" t="n">
        <v>46022</v>
      </c>
      <c r="B288" s="15" t="n">
        <v>4341.10009765625</v>
      </c>
      <c r="C288" s="15" t="n">
        <v>70.13400268554688</v>
      </c>
      <c r="D288" s="15" t="n">
        <v>3740.4599609375</v>
      </c>
      <c r="E288" s="16">
        <f>ROUND((B288/31.1034768)*D288, 2)</f>
        <v/>
      </c>
      <c r="F288" s="16">
        <f>ROUND((C288/31.1034768)*D288, 2)</f>
        <v/>
      </c>
      <c r="G288" s="17">
        <f>IFERROR((E288-E287)/E287, 0)</f>
        <v/>
      </c>
      <c r="H288" s="17">
        <f>IFERROR((F288-F287)/F287, 0)</f>
        <v/>
      </c>
    </row>
    <row r="289" ht="20" customHeight="1">
      <c r="A289" s="18" t="n">
        <v>46024</v>
      </c>
      <c r="B289" s="19" t="n">
        <v>4329.60009765625</v>
      </c>
      <c r="C289" s="19" t="n">
        <v>70.55599975585938</v>
      </c>
      <c r="D289" s="19" t="n">
        <v>3768.2099609375</v>
      </c>
      <c r="E289" s="20">
        <f>ROUND((B289/31.1034768)*D289, 2)</f>
        <v/>
      </c>
      <c r="F289" s="20">
        <f>ROUND((C289/31.1034768)*D289, 2)</f>
        <v/>
      </c>
      <c r="G289" s="21">
        <f>IFERROR((E289-E288)/E288, 0)</f>
        <v/>
      </c>
      <c r="H289" s="21">
        <f>IFERROR((F289-F288)/F288, 0)</f>
        <v/>
      </c>
    </row>
    <row r="290" ht="20" customHeight="1">
      <c r="A290" s="14" t="n">
        <v>46027</v>
      </c>
      <c r="B290" s="15" t="n">
        <v>4451.5</v>
      </c>
      <c r="C290" s="15" t="n">
        <v>76.16400146484375</v>
      </c>
      <c r="D290" s="15" t="n">
        <v>3731.327392578125</v>
      </c>
      <c r="E290" s="16">
        <f>ROUND((B290/31.1034768)*D290, 2)</f>
        <v/>
      </c>
      <c r="F290" s="16">
        <f>ROUND((C290/31.1034768)*D290, 2)</f>
        <v/>
      </c>
      <c r="G290" s="17">
        <f>IFERROR((E290-E289)/E289, 0)</f>
        <v/>
      </c>
      <c r="H290" s="17">
        <f>IFERROR((F290-F289)/F289, 0)</f>
        <v/>
      </c>
    </row>
    <row r="291" ht="20" customHeight="1">
      <c r="A291" s="18" t="n">
        <v>46028</v>
      </c>
      <c r="B291" s="19" t="n">
        <v>4496.10009765625</v>
      </c>
      <c r="C291" s="19" t="n">
        <v>80.52999877929688</v>
      </c>
      <c r="D291" s="19" t="n">
        <v>3748.3701171875</v>
      </c>
      <c r="E291" s="20">
        <f>ROUND((B291/31.1034768)*D291, 2)</f>
        <v/>
      </c>
      <c r="F291" s="20">
        <f>ROUND((C291/31.1034768)*D291, 2)</f>
        <v/>
      </c>
      <c r="G291" s="21">
        <f>IFERROR((E291-E290)/E290, 0)</f>
        <v/>
      </c>
      <c r="H291" s="21">
        <f>IFERROR((F291-F290)/F290, 0)</f>
        <v/>
      </c>
    </row>
    <row r="292" ht="20" customHeight="1">
      <c r="A292" s="14" t="n">
        <v>46029</v>
      </c>
      <c r="B292" s="15" t="n">
        <v>4462.5</v>
      </c>
      <c r="C292" s="15" t="n">
        <v>77.13500213623047</v>
      </c>
      <c r="D292" s="15" t="n">
        <v>3711.2900390625</v>
      </c>
      <c r="E292" s="16">
        <f>ROUND((B292/31.1034768)*D292, 2)</f>
        <v/>
      </c>
      <c r="F292" s="16">
        <f>ROUND((C292/31.1034768)*D292, 2)</f>
        <v/>
      </c>
      <c r="G292" s="17">
        <f>IFERROR((E292-E291)/E291, 0)</f>
        <v/>
      </c>
      <c r="H292" s="17">
        <f>IFERROR((F292-F291)/F291, 0)</f>
        <v/>
      </c>
    </row>
    <row r="293" ht="20" customHeight="1">
      <c r="A293" s="18" t="n">
        <v>46030</v>
      </c>
      <c r="B293" s="19" t="n">
        <v>4460.7001953125</v>
      </c>
      <c r="C293" s="19" t="n">
        <v>74.71600341796875</v>
      </c>
      <c r="D293" s="19" t="n">
        <v>3750.75</v>
      </c>
      <c r="E293" s="20">
        <f>ROUND((B293/31.1034768)*D293, 2)</f>
        <v/>
      </c>
      <c r="F293" s="20">
        <f>ROUND((C293/31.1034768)*D293, 2)</f>
        <v/>
      </c>
      <c r="G293" s="21">
        <f>IFERROR((E293-E292)/E292, 0)</f>
        <v/>
      </c>
      <c r="H293" s="21">
        <f>IFERROR((F293-F292)/F292, 0)</f>
        <v/>
      </c>
    </row>
    <row r="294" ht="20" customHeight="1">
      <c r="A294" s="14" t="n">
        <v>46031</v>
      </c>
      <c r="B294" s="15" t="n">
        <v>4500.89990234375</v>
      </c>
      <c r="C294" s="15" t="n">
        <v>78.88400268554688</v>
      </c>
      <c r="D294" s="15" t="n">
        <v>3713.510009765625</v>
      </c>
      <c r="E294" s="16">
        <f>ROUND((B294/31.1034768)*D294, 2)</f>
        <v/>
      </c>
      <c r="F294" s="16">
        <f>ROUND((C294/31.1034768)*D294, 2)</f>
        <v/>
      </c>
      <c r="G294" s="17">
        <f>IFERROR((E294-E293)/E293, 0)</f>
        <v/>
      </c>
      <c r="H294" s="17">
        <f>IFERROR((F294-F293)/F293, 0)</f>
        <v/>
      </c>
    </row>
    <row r="295" ht="20" customHeight="1">
      <c r="A295" s="18" t="n">
        <v>46034</v>
      </c>
      <c r="B295" s="19" t="n">
        <v>4614.7001953125</v>
      </c>
      <c r="C295" s="19" t="n">
        <v>84.61000061035156</v>
      </c>
      <c r="D295" s="19" t="n">
        <v>3670.43359375</v>
      </c>
      <c r="E295" s="20">
        <f>ROUND((B295/31.1034768)*D295, 2)</f>
        <v/>
      </c>
      <c r="F295" s="20">
        <f>ROUND((C295/31.1034768)*D295, 2)</f>
        <v/>
      </c>
      <c r="G295" s="21">
        <f>IFERROR((E295-E294)/E294, 0)</f>
        <v/>
      </c>
      <c r="H295" s="21">
        <f>IFERROR((F295-F294)/F294, 0)</f>
        <v/>
      </c>
    </row>
    <row r="296" ht="20" customHeight="1">
      <c r="A296" s="14" t="n">
        <v>46035</v>
      </c>
      <c r="B296" s="15" t="n">
        <v>4599.10009765625</v>
      </c>
      <c r="C296" s="15" t="n">
        <v>85.87699890136719</v>
      </c>
      <c r="D296" s="15" t="n">
        <v>3713.639892578125</v>
      </c>
      <c r="E296" s="16">
        <f>ROUND((B296/31.1034768)*D296, 2)</f>
        <v/>
      </c>
      <c r="F296" s="16">
        <f>ROUND((C296/31.1034768)*D296, 2)</f>
        <v/>
      </c>
      <c r="G296" s="17">
        <f>IFERROR((E296-E295)/E295, 0)</f>
        <v/>
      </c>
      <c r="H296" s="17">
        <f>IFERROR((F296-F295)/F295, 0)</f>
        <v/>
      </c>
    </row>
    <row r="297" ht="20" customHeight="1">
      <c r="A297" s="18" t="n">
        <v>46036</v>
      </c>
      <c r="B297" s="19" t="n">
        <v>4635.7001953125</v>
      </c>
      <c r="C297" s="19" t="n">
        <v>90.86900329589844</v>
      </c>
      <c r="D297" s="19" t="n">
        <v>3684.860107421875</v>
      </c>
      <c r="E297" s="20">
        <f>ROUND((B297/31.1034768)*D297, 2)</f>
        <v/>
      </c>
      <c r="F297" s="20">
        <f>ROUND((C297/31.1034768)*D297, 2)</f>
        <v/>
      </c>
      <c r="G297" s="21">
        <f>IFERROR((E297-E296)/E296, 0)</f>
        <v/>
      </c>
      <c r="H297" s="21">
        <f>IFERROR((F297-F296)/F296, 0)</f>
        <v/>
      </c>
    </row>
    <row r="298" ht="20" customHeight="1">
      <c r="A298" s="14" t="n">
        <v>46037</v>
      </c>
      <c r="B298" s="15" t="n">
        <v>4623.7001953125</v>
      </c>
      <c r="C298" s="15" t="n">
        <v>91.87599945068359</v>
      </c>
      <c r="D298" s="15" t="n">
        <v>3671.7900390625</v>
      </c>
      <c r="E298" s="16">
        <f>ROUND((B298/31.1034768)*D298, 2)</f>
        <v/>
      </c>
      <c r="F298" s="16">
        <f>ROUND((C298/31.1034768)*D298, 2)</f>
        <v/>
      </c>
      <c r="G298" s="17">
        <f>IFERROR((E298-E297)/E297, 0)</f>
        <v/>
      </c>
      <c r="H298" s="17">
        <f>IFERROR((F298-F297)/F297, 0)</f>
        <v/>
      </c>
    </row>
    <row r="299" ht="20" customHeight="1">
      <c r="A299" s="18" t="n">
        <v>46038</v>
      </c>
      <c r="B299" s="19" t="n">
        <v>4595.39990234375</v>
      </c>
      <c r="C299" s="19" t="n">
        <v>88.09100341796875</v>
      </c>
      <c r="D299" s="19" t="n">
        <v>3684.110107421875</v>
      </c>
      <c r="E299" s="20">
        <f>ROUND((B299/31.1034768)*D299, 2)</f>
        <v/>
      </c>
      <c r="F299" s="20">
        <f>ROUND((C299/31.1034768)*D299, 2)</f>
        <v/>
      </c>
      <c r="G299" s="21">
        <f>IFERROR((E299-E298)/E298, 0)</f>
        <v/>
      </c>
      <c r="H299" s="21">
        <f>IFERROR((F299-F298)/F298, 0)</f>
        <v/>
      </c>
    </row>
    <row r="300" ht="20" customHeight="1">
      <c r="A300" s="14" t="n">
        <v>46041</v>
      </c>
      <c r="B300" s="15" t="n">
        <v>4595.39990234375</v>
      </c>
      <c r="C300" s="15" t="n">
        <v>88.09100341796875</v>
      </c>
      <c r="D300" s="15" t="n">
        <v>3647.150146484375</v>
      </c>
      <c r="E300" s="16">
        <f>ROUND((B300/31.1034768)*D300, 2)</f>
        <v/>
      </c>
      <c r="F300" s="16">
        <f>ROUND((C300/31.1034768)*D300, 2)</f>
        <v/>
      </c>
      <c r="G300" s="17">
        <f>IFERROR((E300-E299)/E299, 0)</f>
        <v/>
      </c>
      <c r="H300" s="17">
        <f>IFERROR((F300-F299)/F299, 0)</f>
        <v/>
      </c>
    </row>
    <row r="301" ht="20" customHeight="1">
      <c r="A301" s="18" t="n">
        <v>46042</v>
      </c>
      <c r="B301" s="19" t="n">
        <v>4765.7998046875</v>
      </c>
      <c r="C301" s="19" t="n">
        <v>94.20600128173828</v>
      </c>
      <c r="D301" s="19" t="n">
        <v>3675.5</v>
      </c>
      <c r="E301" s="20">
        <f>ROUND((B301/31.1034768)*D301, 2)</f>
        <v/>
      </c>
      <c r="F301" s="20">
        <f>ROUND((C301/31.1034768)*D301, 2)</f>
        <v/>
      </c>
      <c r="G301" s="21">
        <f>IFERROR((E301-E300)/E300, 0)</f>
        <v/>
      </c>
      <c r="H301" s="21">
        <f>IFERROR((F301-F300)/F300, 0)</f>
        <v/>
      </c>
    </row>
    <row r="302" ht="20" customHeight="1">
      <c r="A302" s="14" t="n">
        <v>46043</v>
      </c>
      <c r="B302" s="15" t="n">
        <v>4837.5</v>
      </c>
      <c r="C302" s="15" t="n">
        <v>92.20999908447266</v>
      </c>
      <c r="D302" s="15" t="n">
        <v>3674.699951171875</v>
      </c>
      <c r="E302" s="16">
        <f>ROUND((B302/31.1034768)*D302, 2)</f>
        <v/>
      </c>
      <c r="F302" s="16">
        <f>ROUND((C302/31.1034768)*D302, 2)</f>
        <v/>
      </c>
      <c r="G302" s="17">
        <f>IFERROR((E302-E301)/E301, 0)</f>
        <v/>
      </c>
      <c r="H302" s="17">
        <f>IFERROR((F302-F301)/F301, 0)</f>
        <v/>
      </c>
    </row>
    <row r="303" ht="20" customHeight="1">
      <c r="A303" s="18" t="n">
        <v>46044</v>
      </c>
      <c r="B303" s="19" t="n">
        <v>4913.39990234375</v>
      </c>
      <c r="C303" s="19" t="n">
        <v>95.97599792480469</v>
      </c>
      <c r="D303" s="19" t="n">
        <v>3673.169921875</v>
      </c>
      <c r="E303" s="20">
        <f>ROUND((B303/31.1034768)*D303, 2)</f>
        <v/>
      </c>
      <c r="F303" s="20">
        <f>ROUND((C303/31.1034768)*D303, 2)</f>
        <v/>
      </c>
      <c r="G303" s="21">
        <f>IFERROR((E303-E302)/E302, 0)</f>
        <v/>
      </c>
      <c r="H303" s="21">
        <f>IFERROR((F303-F302)/F302, 0)</f>
        <v/>
      </c>
    </row>
    <row r="304" ht="20" customHeight="1">
      <c r="A304" s="14" t="n">
        <v>46045</v>
      </c>
      <c r="B304" s="15" t="n">
        <v>4979.7001953125</v>
      </c>
      <c r="C304" s="15" t="n">
        <v>100.9250030517578</v>
      </c>
      <c r="D304" s="15" t="n">
        <v>3610.72998046875</v>
      </c>
      <c r="E304" s="16">
        <f>ROUND((B304/31.1034768)*D304, 2)</f>
        <v/>
      </c>
      <c r="F304" s="16">
        <f>ROUND((C304/31.1034768)*D304, 2)</f>
        <v/>
      </c>
      <c r="G304" s="17">
        <f>IFERROR((E304-E303)/E303, 0)</f>
        <v/>
      </c>
      <c r="H304" s="17">
        <f>IFERROR((F304-F303)/F303, 0)</f>
        <v/>
      </c>
    </row>
    <row r="305" ht="20" customHeight="1">
      <c r="A305" s="18" t="n">
        <v>46048</v>
      </c>
      <c r="B305" s="19" t="n">
        <v>5082.5</v>
      </c>
      <c r="C305" s="19" t="n">
        <v>115.0800018310547</v>
      </c>
      <c r="D305" s="19" t="n">
        <v>3533.49951171875</v>
      </c>
      <c r="E305" s="20">
        <f>ROUND((B305/31.1034768)*D305, 2)</f>
        <v/>
      </c>
      <c r="F305" s="20">
        <f>ROUND((C305/31.1034768)*D305, 2)</f>
        <v/>
      </c>
      <c r="G305" s="21">
        <f>IFERROR((E305-E304)/E304, 0)</f>
        <v/>
      </c>
      <c r="H305" s="21">
        <f>IFERROR((F305-F304)/F304, 0)</f>
        <v/>
      </c>
    </row>
    <row r="306" ht="20" customHeight="1">
      <c r="A306" s="14" t="n">
        <v>46049</v>
      </c>
      <c r="B306" s="15" t="n">
        <v>5082.60009765625</v>
      </c>
      <c r="C306" s="15" t="n">
        <v>105.5230026245117</v>
      </c>
      <c r="D306" s="15" t="n">
        <v>3681.18994140625</v>
      </c>
      <c r="E306" s="16">
        <f>ROUND((B306/31.1034768)*D306, 2)</f>
        <v/>
      </c>
      <c r="F306" s="16">
        <f>ROUND((C306/31.1034768)*D306, 2)</f>
        <v/>
      </c>
      <c r="G306" s="17">
        <f>IFERROR((E306-E305)/E305, 0)</f>
        <v/>
      </c>
      <c r="H306" s="17">
        <f>IFERROR((F306-F305)/F305, 0)</f>
        <v/>
      </c>
    </row>
    <row r="307" ht="20" customHeight="1">
      <c r="A307" s="18" t="n">
        <v>46050</v>
      </c>
      <c r="B307" s="19" t="n">
        <v>5303.60009765625</v>
      </c>
      <c r="C307" s="19" t="n">
        <v>113.1110000610352</v>
      </c>
      <c r="D307" s="19" t="n">
        <v>3652.9599609375</v>
      </c>
      <c r="E307" s="20">
        <f>ROUND((B307/31.1034768)*D307, 2)</f>
        <v/>
      </c>
      <c r="F307" s="20">
        <f>ROUND((C307/31.1034768)*D307, 2)</f>
        <v/>
      </c>
      <c r="G307" s="21">
        <f>IFERROR((E307-E306)/E306, 0)</f>
        <v/>
      </c>
      <c r="H307" s="21">
        <f>IFERROR((F307-F306)/F306, 0)</f>
        <v/>
      </c>
    </row>
    <row r="308" ht="20" customHeight="1">
      <c r="A308" s="14" t="n">
        <v>46051</v>
      </c>
      <c r="B308" s="15" t="n">
        <v>5318.39990234375</v>
      </c>
      <c r="C308" s="15" t="n">
        <v>114.0370025634766</v>
      </c>
      <c r="D308" s="15" t="n">
        <v>3668.610107421875</v>
      </c>
      <c r="E308" s="16">
        <f>ROUND((B308/31.1034768)*D308, 2)</f>
        <v/>
      </c>
      <c r="F308" s="16">
        <f>ROUND((C308/31.1034768)*D308, 2)</f>
        <v/>
      </c>
      <c r="G308" s="17">
        <f>IFERROR((E308-E307)/E307, 0)</f>
        <v/>
      </c>
      <c r="H308" s="17">
        <f>IFERROR((F308-F307)/F307, 0)</f>
        <v/>
      </c>
    </row>
    <row r="309" ht="20" customHeight="1">
      <c r="A309" s="18" t="n">
        <v>46052</v>
      </c>
      <c r="B309" s="19" t="n">
        <v>4745.10009765625</v>
      </c>
      <c r="C309" s="19" t="n">
        <v>78.29000091552734</v>
      </c>
      <c r="D309" s="19" t="n">
        <v>3652.280029296875</v>
      </c>
      <c r="E309" s="20">
        <f>ROUND((B309/31.1034768)*D309, 2)</f>
        <v/>
      </c>
      <c r="F309" s="20">
        <f>ROUND((C309/31.1034768)*D309, 2)</f>
        <v/>
      </c>
      <c r="G309" s="21">
        <f>IFERROR((E309-E308)/E308, 0)</f>
        <v/>
      </c>
      <c r="H309" s="21">
        <f>IFERROR((F309-F308)/F308, 0)</f>
        <v/>
      </c>
    </row>
    <row r="310" ht="20" customHeight="1">
      <c r="A310" s="14" t="n">
        <v>46055</v>
      </c>
      <c r="B310" s="15" t="n">
        <v>4652.60009765625</v>
      </c>
      <c r="C310" s="15" t="n">
        <v>76.77799987792969</v>
      </c>
      <c r="D310" s="15" t="n">
        <v>3627.567626953125</v>
      </c>
      <c r="E310" s="16">
        <f>ROUND((B310/31.1034768)*D310, 2)</f>
        <v/>
      </c>
      <c r="F310" s="16">
        <f>ROUND((C310/31.1034768)*D310, 2)</f>
        <v/>
      </c>
      <c r="G310" s="17">
        <f>IFERROR((E310-E309)/E309, 0)</f>
        <v/>
      </c>
      <c r="H310" s="17">
        <f>IFERROR((F310-F309)/F309, 0)</f>
        <v/>
      </c>
    </row>
    <row r="311" ht="20" customHeight="1">
      <c r="A311" s="18" t="n">
        <v>46056</v>
      </c>
      <c r="B311" s="19" t="n">
        <v>4935</v>
      </c>
      <c r="C311" s="19" t="n">
        <v>83.04199981689453</v>
      </c>
      <c r="D311" s="19" t="n">
        <v>3619.820068359375</v>
      </c>
      <c r="E311" s="20">
        <f>ROUND((B311/31.1034768)*D311, 2)</f>
        <v/>
      </c>
      <c r="F311" s="20">
        <f>ROUND((C311/31.1034768)*D311, 2)</f>
        <v/>
      </c>
      <c r="G311" s="21">
        <f>IFERROR((E311-E310)/E310, 0)</f>
        <v/>
      </c>
      <c r="H311" s="21">
        <f>IFERROR((F311-F310)/F310, 0)</f>
        <v/>
      </c>
    </row>
    <row r="312" ht="20" customHeight="1">
      <c r="A312" s="14" t="n">
        <v>46057</v>
      </c>
      <c r="B312" s="15" t="n">
        <v>4950.7998046875</v>
      </c>
      <c r="C312" s="15" t="n">
        <v>84.16500091552734</v>
      </c>
      <c r="D312" s="15" t="n">
        <v>3644.7099609375</v>
      </c>
      <c r="E312" s="16">
        <f>ROUND((B312/31.1034768)*D312, 2)</f>
        <v/>
      </c>
      <c r="F312" s="16">
        <f>ROUND((C312/31.1034768)*D312, 2)</f>
        <v/>
      </c>
      <c r="G312" s="17">
        <f>IFERROR((E312-E311)/E311, 0)</f>
        <v/>
      </c>
      <c r="H312" s="17">
        <f>IFERROR((F312-F311)/F311, 0)</f>
        <v/>
      </c>
    </row>
    <row r="313" ht="20" customHeight="1">
      <c r="A313" s="18" t="n">
        <v>46058</v>
      </c>
      <c r="B313" s="19" t="n">
        <v>4889.5</v>
      </c>
      <c r="C313" s="19" t="n">
        <v>76.52899932861328</v>
      </c>
      <c r="D313" s="19" t="n">
        <v>3628.219970703125</v>
      </c>
      <c r="E313" s="20">
        <f>ROUND((B313/31.1034768)*D313, 2)</f>
        <v/>
      </c>
      <c r="F313" s="20">
        <f>ROUND((C313/31.1034768)*D313, 2)</f>
        <v/>
      </c>
      <c r="G313" s="21">
        <f>IFERROR((E313-E312)/E312, 0)</f>
        <v/>
      </c>
      <c r="H313" s="21">
        <f>IFERROR((F313-F312)/F312, 0)</f>
        <v/>
      </c>
    </row>
    <row r="314" ht="20" customHeight="1">
      <c r="A314" s="14" t="n">
        <v>46059</v>
      </c>
      <c r="B314" s="15" t="n">
        <v>4979.7998046875</v>
      </c>
      <c r="C314" s="15" t="n">
        <v>76.73500061035156</v>
      </c>
      <c r="D314" s="15" t="n">
        <v>3698.64990234375</v>
      </c>
      <c r="E314" s="16">
        <f>ROUND((B314/31.1034768)*D314, 2)</f>
        <v/>
      </c>
      <c r="F314" s="16">
        <f>ROUND((C314/31.1034768)*D314, 2)</f>
        <v/>
      </c>
      <c r="G314" s="17">
        <f>IFERROR((E314-E313)/E313, 0)</f>
        <v/>
      </c>
      <c r="H314" s="17">
        <f>IFERROR((F314-F313)/F313, 0)</f>
        <v/>
      </c>
    </row>
    <row r="315" ht="20" customHeight="1">
      <c r="A315" s="18" t="n">
        <v>46062</v>
      </c>
      <c r="B315" s="19" t="n">
        <v>5079.39990234375</v>
      </c>
      <c r="C315" s="19" t="n">
        <v>82.06500244140625</v>
      </c>
      <c r="D315" s="19" t="n">
        <v>3657.237060546875</v>
      </c>
      <c r="E315" s="20">
        <f>ROUND((B315/31.1034768)*D315, 2)</f>
        <v/>
      </c>
      <c r="F315" s="20">
        <f>ROUND((C315/31.1034768)*D315, 2)</f>
        <v/>
      </c>
      <c r="G315" s="21">
        <f>IFERROR((E315-E314)/E314, 0)</f>
        <v/>
      </c>
      <c r="H315" s="21">
        <f>IFERROR((F315-F314)/F314, 0)</f>
        <v/>
      </c>
    </row>
    <row r="316" ht="20" customHeight="1">
      <c r="A316" s="14" t="n">
        <v>46063</v>
      </c>
      <c r="B316" s="15" t="n">
        <v>5031</v>
      </c>
      <c r="C316" s="15" t="n">
        <v>80.21800231933594</v>
      </c>
      <c r="D316" s="15" t="n">
        <v>3668.260009765625</v>
      </c>
      <c r="E316" s="16">
        <f>ROUND((B316/31.1034768)*D316, 2)</f>
        <v/>
      </c>
      <c r="F316" s="16">
        <f>ROUND((C316/31.1034768)*D316, 2)</f>
        <v/>
      </c>
      <c r="G316" s="17">
        <f>IFERROR((E316-E315)/E315, 0)</f>
        <v/>
      </c>
      <c r="H316" s="17">
        <f>IFERROR((F316-F315)/F315, 0)</f>
        <v/>
      </c>
    </row>
    <row r="317" ht="20" customHeight="1">
      <c r="A317" s="18" t="n">
        <v>46064</v>
      </c>
      <c r="B317" s="19" t="n">
        <v>5098.5</v>
      </c>
      <c r="C317" s="19" t="n">
        <v>83.75399780273438</v>
      </c>
      <c r="D317" s="19" t="n">
        <v>3663.719970703125</v>
      </c>
      <c r="E317" s="20">
        <f>ROUND((B317/31.1034768)*D317, 2)</f>
        <v/>
      </c>
      <c r="F317" s="20">
        <f>ROUND((C317/31.1034768)*D317, 2)</f>
        <v/>
      </c>
      <c r="G317" s="21">
        <f>IFERROR((E317-E316)/E316, 0)</f>
        <v/>
      </c>
      <c r="H317" s="21">
        <f>IFERROR((F317-F316)/F316, 0)</f>
        <v/>
      </c>
    </row>
    <row r="318" ht="20" customHeight="1">
      <c r="A318" s="14" t="n">
        <v>46065</v>
      </c>
      <c r="B318" s="15" t="n">
        <v>4948.39990234375</v>
      </c>
      <c r="C318" s="15" t="n">
        <v>75.54599761962891</v>
      </c>
      <c r="D318" s="15" t="n">
        <v>3669.530029296875</v>
      </c>
      <c r="E318" s="16">
        <f>ROUND((B318/31.1034768)*D318, 2)</f>
        <v/>
      </c>
      <c r="F318" s="16">
        <f>ROUND((C318/31.1034768)*D318, 2)</f>
        <v/>
      </c>
      <c r="G318" s="17">
        <f>IFERROR((E318-E317)/E317, 0)</f>
        <v/>
      </c>
      <c r="H318" s="17">
        <f>IFERROR((F318-F317)/F317, 0)</f>
        <v/>
      </c>
    </row>
    <row r="319" ht="20" customHeight="1">
      <c r="A319" s="18" t="n">
        <v>46066</v>
      </c>
      <c r="B319" s="19" t="n">
        <v>5046.2998046875</v>
      </c>
      <c r="C319" s="19" t="n">
        <v>77.85099792480469</v>
      </c>
      <c r="D319" s="19" t="n">
        <v>3668</v>
      </c>
      <c r="E319" s="20">
        <f>ROUND((B319/31.1034768)*D319, 2)</f>
        <v/>
      </c>
      <c r="F319" s="20">
        <f>ROUND((C319/31.1034768)*D319, 2)</f>
        <v/>
      </c>
      <c r="G319" s="21">
        <f>IFERROR((E319-E318)/E318, 0)</f>
        <v/>
      </c>
      <c r="H319" s="21">
        <f>IFERROR((F319-F318)/F318, 0)</f>
        <v/>
      </c>
    </row>
    <row r="320" ht="20" customHeight="1">
      <c r="A320" s="14" t="n">
        <v>46069</v>
      </c>
      <c r="B320" s="15" t="n">
        <v>5046.2998046875</v>
      </c>
      <c r="C320" s="15" t="n">
        <v>77.85099792480469</v>
      </c>
      <c r="D320" s="15" t="n">
        <v>3618.32958984375</v>
      </c>
      <c r="E320" s="16">
        <f>ROUND((B320/31.1034768)*D320, 2)</f>
        <v/>
      </c>
      <c r="F320" s="16">
        <f>ROUND((C320/31.1034768)*D320, 2)</f>
        <v/>
      </c>
      <c r="G320" s="17">
        <f>IFERROR((E320-E319)/E319, 0)</f>
        <v/>
      </c>
      <c r="H320" s="17">
        <f>IFERROR((F320-F319)/F319, 0)</f>
        <v/>
      </c>
    </row>
    <row r="321" ht="20" customHeight="1">
      <c r="A321" s="18" t="n">
        <v>46070</v>
      </c>
      <c r="B321" s="19" t="n">
        <v>4905.89990234375</v>
      </c>
      <c r="C321" s="19" t="n">
        <v>73.44699859619141</v>
      </c>
      <c r="D321" s="19" t="n">
        <v>3656.070068359375</v>
      </c>
      <c r="E321" s="20">
        <f>ROUND((B321/31.1034768)*D321, 2)</f>
        <v/>
      </c>
      <c r="F321" s="20">
        <f>ROUND((C321/31.1034768)*D321, 2)</f>
        <v/>
      </c>
      <c r="G321" s="21">
        <f>IFERROR((E321-E320)/E320, 0)</f>
        <v/>
      </c>
      <c r="H321" s="21">
        <f>IFERROR((F321-F320)/F320, 0)</f>
        <v/>
      </c>
    </row>
    <row r="322" ht="20" customHeight="1">
      <c r="A322" s="14" t="n">
        <v>46071</v>
      </c>
      <c r="B322" s="15" t="n">
        <v>5009.5</v>
      </c>
      <c r="C322" s="15" t="n">
        <v>77.50900268554688</v>
      </c>
      <c r="D322" s="15" t="n">
        <v>3663.75</v>
      </c>
      <c r="E322" s="16">
        <f>ROUND((B322/31.1034768)*D322, 2)</f>
        <v/>
      </c>
      <c r="F322" s="16">
        <f>ROUND((C322/31.1034768)*D322, 2)</f>
        <v/>
      </c>
      <c r="G322" s="17">
        <f>IFERROR((E322-E321)/E321, 0)</f>
        <v/>
      </c>
      <c r="H322" s="17">
        <f>IFERROR((F322-F321)/F321, 0)</f>
        <v/>
      </c>
    </row>
    <row r="323" ht="20" customHeight="1">
      <c r="A323" s="18" t="n">
        <v>46072</v>
      </c>
      <c r="B323" s="19" t="n">
        <v>4997.39990234375</v>
      </c>
      <c r="C323" s="19" t="n">
        <v>77.56500244140625</v>
      </c>
      <c r="D323" s="19" t="n">
        <v>3678.280029296875</v>
      </c>
      <c r="E323" s="20">
        <f>ROUND((B323/31.1034768)*D323, 2)</f>
        <v/>
      </c>
      <c r="F323" s="20">
        <f>ROUND((C323/31.1034768)*D323, 2)</f>
        <v/>
      </c>
      <c r="G323" s="21">
        <f>IFERROR((E323-E322)/E322, 0)</f>
        <v/>
      </c>
      <c r="H323" s="21">
        <f>IFERROR((F323-F322)/F322, 0)</f>
        <v/>
      </c>
    </row>
    <row r="324" ht="20" customHeight="1">
      <c r="A324" s="14" t="n">
        <v>46073</v>
      </c>
      <c r="B324" s="15" t="n">
        <v>5080.89990234375</v>
      </c>
      <c r="C324" s="15" t="n">
        <v>82.28299713134766</v>
      </c>
      <c r="D324" s="15" t="n">
        <v>3698.7900390625</v>
      </c>
      <c r="E324" s="16">
        <f>ROUND((B324/31.1034768)*D324, 2)</f>
        <v/>
      </c>
      <c r="F324" s="16">
        <f>ROUND((C324/31.1034768)*D324, 2)</f>
        <v/>
      </c>
      <c r="G324" s="17">
        <f>IFERROR((E324-E323)/E323, 0)</f>
        <v/>
      </c>
      <c r="H324" s="17">
        <f>IFERROR((F324-F323)/F323, 0)</f>
        <v/>
      </c>
    </row>
    <row r="325" ht="20" customHeight="1">
      <c r="A325" s="18" t="n">
        <v>46076</v>
      </c>
      <c r="B325" s="19" t="n">
        <v>5225.60009765625</v>
      </c>
      <c r="C325" s="19" t="n">
        <v>86.52300262451172</v>
      </c>
      <c r="D325" s="19" t="n">
        <v>3647.34814453125</v>
      </c>
      <c r="E325" s="20">
        <f>ROUND((B325/31.1034768)*D325, 2)</f>
        <v/>
      </c>
      <c r="F325" s="20">
        <f>ROUND((C325/31.1034768)*D325, 2)</f>
        <v/>
      </c>
      <c r="G325" s="21">
        <f>IFERROR((E325-E324)/E324, 0)</f>
        <v/>
      </c>
      <c r="H325" s="21">
        <f>IFERROR((F325-F324)/F324, 0)</f>
        <v/>
      </c>
    </row>
    <row r="326" ht="20" customHeight="1">
      <c r="A326" s="14" t="n">
        <v>46077</v>
      </c>
      <c r="B326" s="15" t="n">
        <v>5176.2998046875</v>
      </c>
      <c r="C326" s="15" t="n">
        <v>87.45700073242188</v>
      </c>
      <c r="D326" s="15" t="n">
        <v>3691.93994140625</v>
      </c>
      <c r="E326" s="16">
        <f>ROUND((B326/31.1034768)*D326, 2)</f>
        <v/>
      </c>
      <c r="F326" s="16">
        <f>ROUND((C326/31.1034768)*D326, 2)</f>
        <v/>
      </c>
      <c r="G326" s="17">
        <f>IFERROR((E326-E325)/E325, 0)</f>
        <v/>
      </c>
      <c r="H326" s="17">
        <f>IFERROR((F326-F325)/F325, 0)</f>
        <v/>
      </c>
    </row>
    <row r="327" ht="20" customHeight="1">
      <c r="A327" s="18" t="n">
        <v>46078</v>
      </c>
      <c r="B327" s="19" t="n">
        <v>5226.2001953125</v>
      </c>
      <c r="C327" s="19" t="n">
        <v>90.93900299072266</v>
      </c>
      <c r="D327" s="19" t="n">
        <v>3710.110107421875</v>
      </c>
      <c r="E327" s="20">
        <f>ROUND((B327/31.1034768)*D327, 2)</f>
        <v/>
      </c>
      <c r="F327" s="20">
        <f>ROUND((C327/31.1034768)*D327, 2)</f>
        <v/>
      </c>
      <c r="G327" s="21">
        <f>IFERROR((E327-E326)/E326, 0)</f>
        <v/>
      </c>
      <c r="H327" s="21">
        <f>IFERROR((F327-F326)/F326, 0)</f>
        <v/>
      </c>
    </row>
    <row r="328" ht="20" customHeight="1">
      <c r="A328" s="14" t="n">
        <v>46079</v>
      </c>
      <c r="B328" s="15" t="n">
        <v>5194.2001953125</v>
      </c>
      <c r="C328" s="15" t="n">
        <v>86.99800109863281</v>
      </c>
      <c r="D328" s="15" t="n">
        <v>3697.68994140625</v>
      </c>
      <c r="E328" s="16">
        <f>ROUND((B328/31.1034768)*D328, 2)</f>
        <v/>
      </c>
      <c r="F328" s="16">
        <f>ROUND((C328/31.1034768)*D328, 2)</f>
        <v/>
      </c>
      <c r="G328" s="17">
        <f>IFERROR((E328-E327)/E327, 0)</f>
        <v/>
      </c>
      <c r="H328" s="17">
        <f>IFERROR((F328-F327)/F327, 0)</f>
        <v/>
      </c>
    </row>
    <row r="329" ht="20" customHeight="1">
      <c r="A329" s="18" t="n">
        <v>46080</v>
      </c>
      <c r="B329" s="19" t="n">
        <v>5247.89990234375</v>
      </c>
      <c r="C329" s="19" t="n">
        <v>92.68199920654297</v>
      </c>
      <c r="D329" s="19" t="n">
        <v>3764.2900390625</v>
      </c>
      <c r="E329" s="20">
        <f>ROUND((B329/31.1034768)*D329, 2)</f>
        <v/>
      </c>
      <c r="F329" s="20">
        <f>ROUND((C329/31.1034768)*D329, 2)</f>
        <v/>
      </c>
      <c r="G329" s="21">
        <f>IFERROR((E329-E328)/E328, 0)</f>
        <v/>
      </c>
      <c r="H329" s="21">
        <f>IFERROR((F329-F328)/F328, 0)</f>
        <v/>
      </c>
    </row>
    <row r="330" ht="20" customHeight="1">
      <c r="A330" s="14" t="n">
        <v>46083</v>
      </c>
      <c r="B330" s="15" t="n">
        <v>5311.60009765625</v>
      </c>
      <c r="C330" s="15" t="n">
        <v>88.28399658203125</v>
      </c>
      <c r="D330" s="15" t="n">
        <v>3716.570068359375</v>
      </c>
      <c r="E330" s="16">
        <f>ROUND((B330/31.1034768)*D330, 2)</f>
        <v/>
      </c>
      <c r="F330" s="16">
        <f>ROUND((C330/31.1034768)*D330, 2)</f>
        <v/>
      </c>
      <c r="G330" s="17">
        <f>IFERROR((E330-E329)/E329, 0)</f>
        <v/>
      </c>
      <c r="H330" s="17">
        <f>IFERROR((F330-F329)/F329, 0)</f>
        <v/>
      </c>
    </row>
    <row r="331" ht="20" customHeight="1">
      <c r="A331" s="18" t="n">
        <v>46084</v>
      </c>
      <c r="B331" s="19" t="n">
        <v>5123.7001953125</v>
      </c>
      <c r="C331" s="19" t="n">
        <v>82.92299652099609</v>
      </c>
      <c r="D331" s="19" t="n">
        <v>3770.800048828125</v>
      </c>
      <c r="E331" s="20">
        <f>ROUND((B331/31.1034768)*D331, 2)</f>
        <v/>
      </c>
      <c r="F331" s="20">
        <f>ROUND((C331/31.1034768)*D331, 2)</f>
        <v/>
      </c>
      <c r="G331" s="21">
        <f>IFERROR((E331-E330)/E330, 0)</f>
        <v/>
      </c>
      <c r="H331" s="21">
        <f>IFERROR((F331-F330)/F330, 0)</f>
        <v/>
      </c>
    </row>
    <row r="332" ht="20" customHeight="1">
      <c r="A332" s="14" t="n">
        <v>46085</v>
      </c>
      <c r="B332" s="15" t="n">
        <v>5134.7001953125</v>
      </c>
      <c r="C332" s="15" t="n">
        <v>82.63300323486328</v>
      </c>
      <c r="D332" s="15" t="n">
        <v>3801.260009765625</v>
      </c>
      <c r="E332" s="16">
        <f>ROUND((B332/31.1034768)*D332, 2)</f>
        <v/>
      </c>
      <c r="F332" s="16">
        <f>ROUND((C332/31.1034768)*D332, 2)</f>
        <v/>
      </c>
      <c r="G332" s="17">
        <f>IFERROR((E332-E331)/E331, 0)</f>
        <v/>
      </c>
      <c r="H332" s="17">
        <f>IFERROR((F332-F331)/F331, 0)</f>
        <v/>
      </c>
    </row>
    <row r="333" ht="20" customHeight="1">
      <c r="A333" s="18" t="n">
        <v>46086</v>
      </c>
      <c r="B333" s="19" t="n">
        <v>5078.7001953125</v>
      </c>
      <c r="C333" s="19" t="n">
        <v>81.68699645996094</v>
      </c>
      <c r="D333" s="19" t="n">
        <v>3759.110107421875</v>
      </c>
      <c r="E333" s="20">
        <f>ROUND((B333/31.1034768)*D333, 2)</f>
        <v/>
      </c>
      <c r="F333" s="20">
        <f>ROUND((C333/31.1034768)*D333, 2)</f>
        <v/>
      </c>
      <c r="G333" s="21">
        <f>IFERROR((E333-E332)/E332, 0)</f>
        <v/>
      </c>
      <c r="H333" s="21">
        <f>IFERROR((F333-F332)/F332, 0)</f>
        <v/>
      </c>
    </row>
    <row r="334" ht="20" customHeight="1">
      <c r="A334" s="14" t="n">
        <v>46087</v>
      </c>
      <c r="B334" s="15" t="n">
        <v>5158.7001953125</v>
      </c>
      <c r="C334" s="15" t="n">
        <v>83.81600189208984</v>
      </c>
      <c r="D334" s="15" t="n">
        <v>3788.47998046875</v>
      </c>
      <c r="E334" s="16">
        <f>ROUND((B334/31.1034768)*D334, 2)</f>
        <v/>
      </c>
      <c r="F334" s="16">
        <f>ROUND((C334/31.1034768)*D334, 2)</f>
        <v/>
      </c>
      <c r="G334" s="17">
        <f>IFERROR((E334-E333)/E333, 0)</f>
        <v/>
      </c>
      <c r="H334" s="17">
        <f>IFERROR((F334-F333)/F333, 0)</f>
        <v/>
      </c>
    </row>
    <row r="335" ht="20" customHeight="1">
      <c r="A335" s="18" t="n">
        <v>46090</v>
      </c>
      <c r="B335" s="19" t="n">
        <v>5103.7001953125</v>
      </c>
      <c r="C335" s="19" t="n">
        <v>84.03199768066406</v>
      </c>
      <c r="D335" s="19" t="n">
        <v>3711.901611328125</v>
      </c>
      <c r="E335" s="20">
        <f>ROUND((B335/31.1034768)*D335, 2)</f>
        <v/>
      </c>
      <c r="F335" s="20">
        <f>ROUND((C335/31.1034768)*D335, 2)</f>
        <v/>
      </c>
      <c r="G335" s="21">
        <f>IFERROR((E335-E334)/E334, 0)</f>
        <v/>
      </c>
      <c r="H335" s="21">
        <f>IFERROR((F335-F334)/F334, 0)</f>
        <v/>
      </c>
    </row>
    <row r="336" ht="20" customHeight="1">
      <c r="A336" s="14" t="n">
        <v>46091</v>
      </c>
      <c r="B336" s="15" t="n">
        <v>5242.10009765625</v>
      </c>
      <c r="C336" s="15" t="n">
        <v>89.08300018310547</v>
      </c>
      <c r="D336" s="15" t="n">
        <v>3761.830078125</v>
      </c>
      <c r="E336" s="16">
        <f>ROUND((B336/31.1034768)*D336, 2)</f>
        <v/>
      </c>
      <c r="F336" s="16">
        <f>ROUND((C336/31.1034768)*D336, 2)</f>
        <v/>
      </c>
      <c r="G336" s="17">
        <f>IFERROR((E336-E335)/E335, 0)</f>
        <v/>
      </c>
      <c r="H336" s="17">
        <f>IFERROR((F336-F335)/F335, 0)</f>
        <v/>
      </c>
    </row>
    <row r="337" ht="20" customHeight="1">
      <c r="A337" s="18" t="n">
        <v>46092</v>
      </c>
      <c r="B337" s="19" t="n">
        <v>5179.10009765625</v>
      </c>
      <c r="C337" s="19" t="n">
        <v>85.06500244140625</v>
      </c>
      <c r="D337" s="19" t="n">
        <v>3709.070068359375</v>
      </c>
      <c r="E337" s="20">
        <f>ROUND((B337/31.1034768)*D337, 2)</f>
        <v/>
      </c>
      <c r="F337" s="20">
        <f>ROUND((C337/31.1034768)*D337, 2)</f>
        <v/>
      </c>
      <c r="G337" s="21">
        <f>IFERROR((E337-E336)/E336, 0)</f>
        <v/>
      </c>
      <c r="H337" s="21">
        <f>IFERROR((F337-F336)/F336, 0)</f>
        <v/>
      </c>
    </row>
    <row r="338" ht="20" customHeight="1">
      <c r="A338" s="14" t="n">
        <v>46093</v>
      </c>
      <c r="B338" s="15" t="n">
        <v>5125.7998046875</v>
      </c>
      <c r="C338" s="15" t="n">
        <v>84.66999816894531</v>
      </c>
      <c r="D338" s="15" t="n">
        <v>3703.429931640625</v>
      </c>
      <c r="E338" s="16">
        <f>ROUND((B338/31.1034768)*D338, 2)</f>
        <v/>
      </c>
      <c r="F338" s="16">
        <f>ROUND((C338/31.1034768)*D338, 2)</f>
        <v/>
      </c>
      <c r="G338" s="17">
        <f>IFERROR((E338-E337)/E337, 0)</f>
        <v/>
      </c>
      <c r="H338" s="17">
        <f>IFERROR((F338-F337)/F337, 0)</f>
        <v/>
      </c>
    </row>
    <row r="339" ht="20" customHeight="1">
      <c r="A339" s="18" t="n">
        <v>46094</v>
      </c>
      <c r="B339" s="19" t="n">
        <v>5061.7001953125</v>
      </c>
      <c r="C339" s="19" t="n">
        <v>80.91400146484375</v>
      </c>
      <c r="D339" s="19" t="n">
        <v>3692.56005859375</v>
      </c>
      <c r="E339" s="20">
        <f>ROUND((B339/31.1034768)*D339, 2)</f>
        <v/>
      </c>
      <c r="F339" s="20">
        <f>ROUND((C339/31.1034768)*D339, 2)</f>
        <v/>
      </c>
      <c r="G339" s="21">
        <f>IFERROR((E339-E338)/E338, 0)</f>
        <v/>
      </c>
      <c r="H339" s="21">
        <f>IFERROR((F339-F338)/F338, 0)</f>
        <v/>
      </c>
    </row>
    <row r="340" ht="20" customHeight="1">
      <c r="A340" s="14" t="n">
        <v>46097</v>
      </c>
      <c r="B340" s="15" t="n">
        <v>5002.2001953125</v>
      </c>
      <c r="C340" s="15" t="n">
        <v>80.26300048828125</v>
      </c>
      <c r="D340" s="15" t="n">
        <v>3638.606689453125</v>
      </c>
      <c r="E340" s="16">
        <f>ROUND((B340/31.1034768)*D340, 2)</f>
        <v/>
      </c>
      <c r="F340" s="16">
        <f>ROUND((C340/31.1034768)*D340, 2)</f>
        <v/>
      </c>
      <c r="G340" s="17">
        <f>IFERROR((E340-E339)/E339, 0)</f>
        <v/>
      </c>
      <c r="H340" s="17">
        <f>IFERROR((F340-F339)/F339, 0)</f>
        <v/>
      </c>
    </row>
    <row r="341" ht="20" customHeight="1">
      <c r="A341" s="18" t="n">
        <v>46098</v>
      </c>
      <c r="B341" s="19" t="n">
        <v>5008.2001953125</v>
      </c>
      <c r="C341" s="19" t="n">
        <v>79.52999877929688</v>
      </c>
      <c r="D341" s="19" t="n">
        <v>3702.239990234375</v>
      </c>
      <c r="E341" s="20">
        <f>ROUND((B341/31.1034768)*D341, 2)</f>
        <v/>
      </c>
      <c r="F341" s="20">
        <f>ROUND((C341/31.1034768)*D341, 2)</f>
        <v/>
      </c>
      <c r="G341" s="21">
        <f>IFERROR((E341-E340)/E340, 0)</f>
        <v/>
      </c>
      <c r="H341" s="21">
        <f>IFERROR((F341-F340)/F340, 0)</f>
        <v/>
      </c>
    </row>
    <row r="342" ht="20" customHeight="1">
      <c r="A342" s="14" t="n">
        <v>46099</v>
      </c>
      <c r="B342" s="15" t="n">
        <v>4896.2001953125</v>
      </c>
      <c r="C342" s="15" t="n">
        <v>77.23799896240234</v>
      </c>
      <c r="D342" s="15" t="n">
        <v>3699.389892578125</v>
      </c>
      <c r="E342" s="16">
        <f>ROUND((B342/31.1034768)*D342, 2)</f>
        <v/>
      </c>
      <c r="F342" s="16">
        <f>ROUND((C342/31.1034768)*D342, 2)</f>
        <v/>
      </c>
      <c r="G342" s="17">
        <f>IFERROR((E342-E341)/E341, 0)</f>
        <v/>
      </c>
      <c r="H342" s="17">
        <f>IFERROR((F342-F341)/F341, 0)</f>
        <v/>
      </c>
    </row>
    <row r="343" ht="20" customHeight="1">
      <c r="A343" s="18" t="n">
        <v>46100</v>
      </c>
      <c r="B343" s="19" t="n">
        <v>4605.7001953125</v>
      </c>
      <c r="C343" s="19" t="n">
        <v>70.90200042724609</v>
      </c>
      <c r="D343" s="19" t="n">
        <v>3704.31005859375</v>
      </c>
      <c r="E343" s="20">
        <f>ROUND((B343/31.1034768)*D343, 2)</f>
        <v/>
      </c>
      <c r="F343" s="20">
        <f>ROUND((C343/31.1034768)*D343, 2)</f>
        <v/>
      </c>
      <c r="G343" s="21">
        <f>IFERROR((E343-E342)/E342, 0)</f>
        <v/>
      </c>
      <c r="H343" s="21">
        <f>IFERROR((F343-F342)/F342, 0)</f>
        <v/>
      </c>
    </row>
    <row r="344" ht="20" customHeight="1">
      <c r="A344" s="14" t="n">
        <v>46101</v>
      </c>
      <c r="B344" s="15" t="n">
        <v>4574.89990234375</v>
      </c>
      <c r="C344" s="15" t="n">
        <v>69.36000061035156</v>
      </c>
      <c r="D344" s="15" t="n">
        <v>3690.949951171875</v>
      </c>
      <c r="E344" s="16">
        <f>ROUND((B344/31.1034768)*D344, 2)</f>
        <v/>
      </c>
      <c r="F344" s="16">
        <f>ROUND((C344/31.1034768)*D344, 2)</f>
        <v/>
      </c>
      <c r="G344" s="17">
        <f>IFERROR((E344-E343)/E343, 0)</f>
        <v/>
      </c>
      <c r="H344" s="17">
        <f>IFERROR((F344-F343)/F343, 0)</f>
        <v/>
      </c>
    </row>
    <row r="345" ht="20" customHeight="1">
      <c r="A345" s="18" t="n">
        <v>46104</v>
      </c>
      <c r="B345" s="19" t="n">
        <v>4407.2998046875</v>
      </c>
      <c r="C345" s="19" t="n">
        <v>69.04900360107422</v>
      </c>
      <c r="D345" s="19" t="n">
        <v>3626.27783203125</v>
      </c>
      <c r="E345" s="20">
        <f>ROUND((B345/31.1034768)*D345, 2)</f>
        <v/>
      </c>
      <c r="F345" s="20">
        <f>ROUND((C345/31.1034768)*D345, 2)</f>
        <v/>
      </c>
      <c r="G345" s="21">
        <f>IFERROR((E345-E344)/E344, 0)</f>
        <v/>
      </c>
      <c r="H345" s="21">
        <f>IFERROR((F345-F344)/F344, 0)</f>
        <v/>
      </c>
    </row>
    <row r="346" ht="20" customHeight="1">
      <c r="A346" s="14" t="n">
        <v>46105</v>
      </c>
      <c r="B346" s="15" t="n">
        <v>4402</v>
      </c>
      <c r="C346" s="15" t="n">
        <v>69.27400207519531</v>
      </c>
      <c r="D346" s="15" t="n">
        <v>3709.570068359375</v>
      </c>
      <c r="E346" s="16">
        <f>ROUND((B346/31.1034768)*D346, 2)</f>
        <v/>
      </c>
      <c r="F346" s="16">
        <f>ROUND((C346/31.1034768)*D346, 2)</f>
        <v/>
      </c>
      <c r="G346" s="17">
        <f>IFERROR((E346-E345)/E345, 0)</f>
        <v/>
      </c>
      <c r="H346" s="17">
        <f>IFERROR((F346-F345)/F345, 0)</f>
        <v/>
      </c>
    </row>
    <row r="347" ht="20" customHeight="1">
      <c r="A347" s="18" t="n">
        <v>46106</v>
      </c>
      <c r="B347" s="19" t="n">
        <v>4552.2998046875</v>
      </c>
      <c r="C347" s="19" t="n">
        <v>72.36100006103516</v>
      </c>
      <c r="D347" s="19" t="n">
        <v>3703.22998046875</v>
      </c>
      <c r="E347" s="20">
        <f>ROUND((B347/31.1034768)*D347, 2)</f>
        <v/>
      </c>
      <c r="F347" s="20">
        <f>ROUND((C347/31.1034768)*D347, 2)</f>
        <v/>
      </c>
      <c r="G347" s="21">
        <f>IFERROR((E347-E346)/E346, 0)</f>
        <v/>
      </c>
      <c r="H347" s="21">
        <f>IFERROR((F347-F346)/F346, 0)</f>
        <v/>
      </c>
    </row>
    <row r="348" ht="20" customHeight="1">
      <c r="A348" s="14" t="n">
        <v>46107</v>
      </c>
      <c r="B348" s="15" t="n">
        <v>4376.2998046875</v>
      </c>
      <c r="C348" s="15" t="n">
        <v>67.67099761962891</v>
      </c>
      <c r="D348" s="15" t="n">
        <v>3698.919921875</v>
      </c>
      <c r="E348" s="16">
        <f>ROUND((B348/31.1034768)*D348, 2)</f>
        <v/>
      </c>
      <c r="F348" s="16">
        <f>ROUND((C348/31.1034768)*D348, 2)</f>
        <v/>
      </c>
      <c r="G348" s="17">
        <f>IFERROR((E348-E347)/E347, 0)</f>
        <v/>
      </c>
      <c r="H348" s="17">
        <f>IFERROR((F348-F347)/F347, 0)</f>
        <v/>
      </c>
    </row>
    <row r="349" ht="20" customHeight="1">
      <c r="A349" s="18" t="n">
        <v>46108</v>
      </c>
      <c r="B349" s="19" t="n">
        <v>4492.5</v>
      </c>
      <c r="C349" s="19" t="n">
        <v>69.54499816894531</v>
      </c>
      <c r="D349" s="19" t="n">
        <v>3687.340087890625</v>
      </c>
      <c r="E349" s="20">
        <f>ROUND((B349/31.1034768)*D349, 2)</f>
        <v/>
      </c>
      <c r="F349" s="20">
        <f>ROUND((C349/31.1034768)*D349, 2)</f>
        <v/>
      </c>
      <c r="G349" s="21">
        <f>IFERROR((E349-E348)/E348, 0)</f>
        <v/>
      </c>
      <c r="H349" s="21">
        <f>IFERROR((F349-F348)/F348, 0)</f>
        <v/>
      </c>
    </row>
    <row r="350" ht="20" customHeight="1">
      <c r="A350" s="14" t="n">
        <v>46110</v>
      </c>
      <c r="B350" s="15" t="n">
        <v>4492.5</v>
      </c>
      <c r="C350" s="15" t="n">
        <v>69.54499816894531</v>
      </c>
      <c r="D350" s="15" t="n">
        <v>3672.280029296875</v>
      </c>
      <c r="E350" s="16">
        <f>ROUND((B350/31.1034768)*D350, 2)</f>
        <v/>
      </c>
      <c r="F350" s="16">
        <f>ROUND((C350/31.1034768)*D350, 2)</f>
        <v/>
      </c>
      <c r="G350" s="17">
        <f>IFERROR((E350-E349)/E349, 0)</f>
        <v/>
      </c>
      <c r="H350" s="17">
        <f>IFERROR((F350-F349)/F349, 0)</f>
        <v/>
      </c>
    </row>
    <row r="351" ht="20" customHeight="1">
      <c r="A351" s="18" t="n">
        <v>46111</v>
      </c>
      <c r="B351" s="19" t="n">
        <v>4526</v>
      </c>
      <c r="C351" s="19" t="n">
        <v>70.32399749755859</v>
      </c>
      <c r="D351" s="19" t="n">
        <v>3675.239990234375</v>
      </c>
      <c r="E351" s="20">
        <f>ROUND((B351/31.1034768)*D351, 2)</f>
        <v/>
      </c>
      <c r="F351" s="20">
        <f>ROUND((C351/31.1034768)*D351, 2)</f>
        <v/>
      </c>
      <c r="G351" s="21">
        <f>IFERROR((E351-E350)/E350, 0)</f>
        <v/>
      </c>
      <c r="H351" s="21">
        <f>IFERROR((F351-F350)/F350, 0)</f>
        <v/>
      </c>
    </row>
    <row r="352" ht="20" customHeight="1">
      <c r="A352" s="14" t="n">
        <v>46112</v>
      </c>
      <c r="B352" s="15" t="n">
        <v>4647.60009765625</v>
      </c>
      <c r="C352" s="15" t="n">
        <v>74.69000244140625</v>
      </c>
      <c r="D352" s="15" t="n">
        <v>3681.830078125</v>
      </c>
      <c r="E352" s="16">
        <f>ROUND((B352/31.1034768)*D352, 2)</f>
        <v/>
      </c>
      <c r="F352" s="16">
        <f>ROUND((C352/31.1034768)*D352, 2)</f>
        <v/>
      </c>
      <c r="G352" s="17">
        <f>IFERROR((E352-E351)/E351, 0)</f>
        <v/>
      </c>
      <c r="H352" s="17">
        <f>IFERROR((F352-F351)/F351, 0)</f>
        <v/>
      </c>
    </row>
    <row r="353" ht="20" customHeight="1">
      <c r="A353" s="18" t="n">
        <v>46113</v>
      </c>
      <c r="B353" s="19" t="n">
        <v>4813.10009765625</v>
      </c>
      <c r="C353" s="19" t="n">
        <v>75.86699676513672</v>
      </c>
      <c r="D353" s="19" t="n">
        <v>3671.669921875</v>
      </c>
      <c r="E353" s="20">
        <f>ROUND((B353/31.1034768)*D353, 2)</f>
        <v/>
      </c>
      <c r="F353" s="20">
        <f>ROUND((C353/31.1034768)*D353, 2)</f>
        <v/>
      </c>
      <c r="G353" s="21">
        <f>IFERROR((E353-E352)/E352, 0)</f>
        <v/>
      </c>
      <c r="H353" s="21">
        <f>IFERROR((F353-F352)/F352, 0)</f>
        <v/>
      </c>
    </row>
    <row r="354" ht="20" customHeight="1">
      <c r="A354" s="14" t="n">
        <v>46114</v>
      </c>
      <c r="B354" s="15" t="n">
        <v>4679.7001953125</v>
      </c>
      <c r="C354" s="15" t="n">
        <v>72.73500061035156</v>
      </c>
      <c r="D354" s="15" t="n">
        <v>3660.7099609375</v>
      </c>
      <c r="E354" s="16">
        <f>ROUND((B354/31.1034768)*D354, 2)</f>
        <v/>
      </c>
      <c r="F354" s="16">
        <f>ROUND((C354/31.1034768)*D354, 2)</f>
        <v/>
      </c>
      <c r="G354" s="17">
        <f>IFERROR((E354-E353)/E353, 0)</f>
        <v/>
      </c>
      <c r="H354" s="17">
        <f>IFERROR((F354-F353)/F353, 0)</f>
        <v/>
      </c>
    </row>
    <row r="355" ht="20" customHeight="1">
      <c r="A355" s="18" t="n">
        <v>46117</v>
      </c>
      <c r="B355" s="19" t="n">
        <v>4679.7001953125</v>
      </c>
      <c r="C355" s="19" t="n">
        <v>72.73500061035156</v>
      </c>
      <c r="D355" s="19" t="n">
        <v>3666.669921875</v>
      </c>
      <c r="E355" s="20">
        <f>ROUND((B355/31.1034768)*D355, 2)</f>
        <v/>
      </c>
      <c r="F355" s="20">
        <f>ROUND((C355/31.1034768)*D355, 2)</f>
        <v/>
      </c>
      <c r="G355" s="21">
        <f>IFERROR((E355-E354)/E354, 0)</f>
        <v/>
      </c>
      <c r="H355" s="21">
        <f>IFERROR((F355-F354)/F354, 0)</f>
        <v/>
      </c>
    </row>
    <row r="356" ht="20" customHeight="1">
      <c r="A356" s="14" t="n">
        <v>46118</v>
      </c>
      <c r="B356" s="15" t="n">
        <v>4684.7001953125</v>
      </c>
      <c r="C356" s="15" t="n">
        <v>72.66100311279297</v>
      </c>
      <c r="D356" s="15" t="n">
        <v>3681.449951171875</v>
      </c>
      <c r="E356" s="16">
        <f>ROUND((B356/31.1034768)*D356, 2)</f>
        <v/>
      </c>
      <c r="F356" s="16">
        <f>ROUND((C356/31.1034768)*D356, 2)</f>
        <v/>
      </c>
      <c r="G356" s="17">
        <f>IFERROR((E356-E355)/E355, 0)</f>
        <v/>
      </c>
      <c r="H356" s="17">
        <f>IFERROR((F356-F355)/F355, 0)</f>
        <v/>
      </c>
    </row>
    <row r="357" ht="20" customHeight="1">
      <c r="A357" s="18" t="n">
        <v>46119</v>
      </c>
      <c r="B357" s="19" t="n">
        <v>4684.7001953125</v>
      </c>
      <c r="C357" s="19" t="n">
        <v>71.82599639892578</v>
      </c>
      <c r="D357" s="19" t="n">
        <v>3689.429931640625</v>
      </c>
      <c r="E357" s="20">
        <f>ROUND((B357/31.1034768)*D357, 2)</f>
        <v/>
      </c>
      <c r="F357" s="20">
        <f>ROUND((C357/31.1034768)*D357, 2)</f>
        <v/>
      </c>
      <c r="G357" s="21">
        <f>IFERROR((E357-E356)/E356, 0)</f>
        <v/>
      </c>
      <c r="H357" s="21">
        <f>IFERROR((F357-F356)/F356, 0)</f>
        <v/>
      </c>
    </row>
    <row r="358" ht="20" customHeight="1">
      <c r="A358" s="14" t="n">
        <v>46120</v>
      </c>
      <c r="B358" s="15" t="n">
        <v>4777.2001953125</v>
      </c>
      <c r="C358" s="15" t="n">
        <v>75.2239990234375</v>
      </c>
      <c r="D358" s="15" t="n">
        <v>3645.429931640625</v>
      </c>
      <c r="E358" s="16">
        <f>ROUND((B358/31.1034768)*D358, 2)</f>
        <v/>
      </c>
      <c r="F358" s="16">
        <f>ROUND((C358/31.1034768)*D358, 2)</f>
        <v/>
      </c>
      <c r="G358" s="17">
        <f>IFERROR((E358-E357)/E357, 0)</f>
        <v/>
      </c>
      <c r="H358" s="17">
        <f>IFERROR((F358-F357)/F357, 0)</f>
        <v/>
      </c>
    </row>
    <row r="359" ht="20" customHeight="1">
      <c r="A359" s="18" t="n">
        <v>46121</v>
      </c>
      <c r="B359" s="19" t="n">
        <v>4818</v>
      </c>
      <c r="C359" s="19" t="n">
        <v>76.27700042724609</v>
      </c>
      <c r="D359" s="19" t="n">
        <v>3653.090087890625</v>
      </c>
      <c r="E359" s="20">
        <f>ROUND((B359/31.1034768)*D359, 2)</f>
        <v/>
      </c>
      <c r="F359" s="20">
        <f>ROUND((C359/31.1034768)*D359, 2)</f>
        <v/>
      </c>
      <c r="G359" s="21">
        <f>IFERROR((E359-E358)/E358, 0)</f>
        <v/>
      </c>
      <c r="H359" s="21">
        <f>IFERROR((F359-F358)/F358, 0)</f>
        <v/>
      </c>
    </row>
    <row r="360" ht="20" customHeight="1">
      <c r="A360" s="14" t="n">
        <v>46122</v>
      </c>
      <c r="B360" s="15" t="n">
        <v>4787.39990234375</v>
      </c>
      <c r="C360" s="15" t="n">
        <v>76.32399749755859</v>
      </c>
      <c r="D360" s="15" t="n">
        <v>3653.090087890625</v>
      </c>
      <c r="E360" s="16">
        <f>ROUND((B360/31.1034768)*D360, 2)</f>
        <v/>
      </c>
      <c r="F360" s="16">
        <f>ROUND((C360/31.1034768)*D360, 2)</f>
        <v/>
      </c>
      <c r="G360" s="17">
        <f>IFERROR((E360-E359)/E359, 0)</f>
        <v/>
      </c>
      <c r="H360" s="17">
        <f>IFERROR((F360-F359)/F359, 0)</f>
        <v/>
      </c>
    </row>
    <row r="361" ht="20" customHeight="1">
      <c r="A361" s="18" t="n">
        <v>46124</v>
      </c>
      <c r="B361" s="19" t="n">
        <v>4787.39990234375</v>
      </c>
      <c r="C361" s="19" t="n">
        <v>76.32399749755859</v>
      </c>
      <c r="D361" s="19" t="n">
        <v>3643.7099609375</v>
      </c>
      <c r="E361" s="20">
        <f>ROUND((B361/31.1034768)*D361, 2)</f>
        <v/>
      </c>
      <c r="F361" s="20">
        <f>ROUND((C361/31.1034768)*D361, 2)</f>
        <v/>
      </c>
      <c r="G361" s="21">
        <f>IFERROR((E361-E360)/E360, 0)</f>
        <v/>
      </c>
      <c r="H361" s="21">
        <f>IFERROR((F361-F360)/F360, 0)</f>
        <v/>
      </c>
    </row>
    <row r="362" ht="20" customHeight="1">
      <c r="A362" s="14" t="n">
        <v>46125</v>
      </c>
      <c r="B362" s="15" t="n">
        <v>4767.39990234375</v>
      </c>
      <c r="C362" s="15" t="n">
        <v>75.52300262451172</v>
      </c>
      <c r="D362" s="15" t="n">
        <v>3598.22998046875</v>
      </c>
      <c r="E362" s="16">
        <f>ROUND((B362/31.1034768)*D362, 2)</f>
        <v/>
      </c>
      <c r="F362" s="16">
        <f>ROUND((C362/31.1034768)*D362, 2)</f>
        <v/>
      </c>
      <c r="G362" s="17">
        <f>IFERROR((E362-E361)/E361, 0)</f>
        <v/>
      </c>
      <c r="H362" s="17">
        <f>IFERROR((F362-F361)/F361, 0)</f>
        <v/>
      </c>
    </row>
    <row r="363" ht="20" customHeight="1">
      <c r="A363" s="18" t="n">
        <v>46126</v>
      </c>
      <c r="B363" s="19" t="n">
        <v>4850.10009765625</v>
      </c>
      <c r="C363" s="19" t="n">
        <v>79.39099884033203</v>
      </c>
      <c r="D363" s="19" t="n">
        <v>3595.010009765625</v>
      </c>
      <c r="E363" s="20">
        <f>ROUND((B363/31.1034768)*D363, 2)</f>
        <v/>
      </c>
      <c r="F363" s="20">
        <f>ROUND((C363/31.1034768)*D363, 2)</f>
        <v/>
      </c>
      <c r="G363" s="21">
        <f>IFERROR((E363-E362)/E362, 0)</f>
        <v/>
      </c>
      <c r="H363" s="21">
        <f>IFERROR((F363-F362)/F362, 0)</f>
        <v/>
      </c>
    </row>
    <row r="364" ht="20" customHeight="1">
      <c r="A364" s="14" t="n">
        <v>46127</v>
      </c>
      <c r="B364" s="15" t="n">
        <v>4823.60009765625</v>
      </c>
      <c r="C364" s="15" t="n">
        <v>79.49099731445312</v>
      </c>
      <c r="D364" s="15" t="n">
        <v>3615.14990234375</v>
      </c>
      <c r="E364" s="16">
        <f>ROUND((B364/31.1034768)*D364, 2)</f>
        <v/>
      </c>
      <c r="F364" s="16">
        <f>ROUND((C364/31.1034768)*D364, 2)</f>
        <v/>
      </c>
      <c r="G364" s="17">
        <f>IFERROR((E364-E363)/E363, 0)</f>
        <v/>
      </c>
      <c r="H364" s="17">
        <f>IFERROR((F364-F363)/F363, 0)</f>
        <v/>
      </c>
    </row>
    <row r="365" ht="20" customHeight="1">
      <c r="A365" s="18" t="n">
        <v>46128</v>
      </c>
      <c r="B365" s="19" t="n">
        <v>4808.2998046875</v>
      </c>
      <c r="C365" s="19" t="n">
        <v>78.60600280761719</v>
      </c>
      <c r="D365" s="19" t="n">
        <v>3613.030029296875</v>
      </c>
      <c r="E365" s="20">
        <f>ROUND((B365/31.1034768)*D365, 2)</f>
        <v/>
      </c>
      <c r="F365" s="20">
        <f>ROUND((C365/31.1034768)*D365, 2)</f>
        <v/>
      </c>
      <c r="G365" s="21">
        <f>IFERROR((E365-E364)/E364, 0)</f>
        <v/>
      </c>
      <c r="H365" s="21">
        <f>IFERROR((F365-F364)/F364, 0)</f>
        <v/>
      </c>
    </row>
    <row r="366" ht="20" customHeight="1">
      <c r="A366" s="14" t="n">
        <v>46129</v>
      </c>
      <c r="B366" s="15" t="n">
        <v>4879.60009765625</v>
      </c>
      <c r="C366" s="15" t="n">
        <v>81.73799896240234</v>
      </c>
      <c r="D366" s="15" t="n">
        <v>3613.030029296875</v>
      </c>
      <c r="E366" s="16">
        <f>ROUND((B366/31.1034768)*D366, 2)</f>
        <v/>
      </c>
      <c r="F366" s="16">
        <f>ROUND((C366/31.1034768)*D366, 2)</f>
        <v/>
      </c>
      <c r="G366" s="17">
        <f>IFERROR((E366-E365)/E365, 0)</f>
        <v/>
      </c>
      <c r="H366" s="17">
        <f>IFERROR((F366-F365)/F365, 0)</f>
        <v/>
      </c>
    </row>
    <row r="367" ht="20" customHeight="1">
      <c r="A367" s="18" t="n">
        <v>46131</v>
      </c>
      <c r="B367" s="19" t="n">
        <v>4879.60009765625</v>
      </c>
      <c r="C367" s="19" t="n">
        <v>81.73799896240234</v>
      </c>
      <c r="D367" s="19" t="n">
        <v>3603.8701171875</v>
      </c>
      <c r="E367" s="20">
        <f>ROUND((B367/31.1034768)*D367, 2)</f>
        <v/>
      </c>
      <c r="F367" s="20">
        <f>ROUND((C367/31.1034768)*D367, 2)</f>
        <v/>
      </c>
      <c r="G367" s="21">
        <f>IFERROR((E367-E366)/E366, 0)</f>
        <v/>
      </c>
      <c r="H367" s="21">
        <f>IFERROR((F367-F366)/F366, 0)</f>
        <v/>
      </c>
    </row>
    <row r="368" ht="20" customHeight="1">
      <c r="A368" s="14" t="n">
        <v>46132</v>
      </c>
      <c r="B368" s="15" t="n">
        <v>4828.7998046875</v>
      </c>
      <c r="C368" s="15" t="n">
        <v>79.95099639892578</v>
      </c>
      <c r="D368" s="15" t="n">
        <v>3578.639892578125</v>
      </c>
      <c r="E368" s="16">
        <f>ROUND((B368/31.1034768)*D368, 2)</f>
        <v/>
      </c>
      <c r="F368" s="16">
        <f>ROUND((C368/31.1034768)*D368, 2)</f>
        <v/>
      </c>
      <c r="G368" s="17">
        <f>IFERROR((E368-E367)/E367, 0)</f>
        <v/>
      </c>
      <c r="H368" s="17">
        <f>IFERROR((F368-F367)/F367, 0)</f>
        <v/>
      </c>
    </row>
    <row r="369" ht="20" customHeight="1">
      <c r="A369" s="18" t="n">
        <v>46133</v>
      </c>
      <c r="B369" s="19" t="n">
        <v>4719.60009765625</v>
      </c>
      <c r="C369" s="19" t="n">
        <v>76.41100311279297</v>
      </c>
      <c r="D369" s="19" t="n">
        <v>3584.510009765625</v>
      </c>
      <c r="E369" s="20">
        <f>ROUND((B369/31.1034768)*D369, 2)</f>
        <v/>
      </c>
      <c r="F369" s="20">
        <f>ROUND((C369/31.1034768)*D369, 2)</f>
        <v/>
      </c>
      <c r="G369" s="21">
        <f>IFERROR((E369-E368)/E368, 0)</f>
        <v/>
      </c>
      <c r="H369" s="21">
        <f>IFERROR((F369-F368)/F368, 0)</f>
        <v/>
      </c>
    </row>
    <row r="370" ht="20" customHeight="1">
      <c r="A370" s="14" t="n">
        <v>46134</v>
      </c>
      <c r="B370" s="15" t="n">
        <v>4753</v>
      </c>
      <c r="C370" s="15" t="n">
        <v>77.89299774169922</v>
      </c>
      <c r="D370" s="15" t="n">
        <v>3572.97998046875</v>
      </c>
      <c r="E370" s="16">
        <f>ROUND((B370/31.1034768)*D370, 2)</f>
        <v/>
      </c>
      <c r="F370" s="16">
        <f>ROUND((C370/31.1034768)*D370, 2)</f>
        <v/>
      </c>
      <c r="G370" s="17">
        <f>IFERROR((E370-E369)/E369, 0)</f>
        <v/>
      </c>
      <c r="H370" s="17">
        <f>IFERROR((F370-F369)/F369, 0)</f>
        <v/>
      </c>
    </row>
    <row r="371" ht="20" customHeight="1">
      <c r="A371" s="18" t="n">
        <v>46135</v>
      </c>
      <c r="B371" s="19" t="n">
        <v>4724</v>
      </c>
      <c r="C371" s="19" t="n">
        <v>75.46499633789062</v>
      </c>
      <c r="D371" s="19" t="n">
        <v>3565.64990234375</v>
      </c>
      <c r="E371" s="20">
        <f>ROUND((B371/31.1034768)*D371, 2)</f>
        <v/>
      </c>
      <c r="F371" s="20">
        <f>ROUND((C371/31.1034768)*D371, 2)</f>
        <v/>
      </c>
      <c r="G371" s="21">
        <f>IFERROR((E371-E370)/E370, 0)</f>
        <v/>
      </c>
      <c r="H371" s="21">
        <f>IFERROR((F371-F370)/F370, 0)</f>
        <v/>
      </c>
    </row>
    <row r="372" ht="20" customHeight="1">
      <c r="A372" s="14" t="n">
        <v>46136</v>
      </c>
      <c r="B372" s="15" t="n">
        <v>4740.89990234375</v>
      </c>
      <c r="C372" s="15" t="n">
        <v>76.38300323486328</v>
      </c>
      <c r="D372" s="15" t="n">
        <v>3565.64990234375</v>
      </c>
      <c r="E372" s="16">
        <f>ROUND((B372/31.1034768)*D372, 2)</f>
        <v/>
      </c>
      <c r="F372" s="16">
        <f>ROUND((C372/31.1034768)*D372, 2)</f>
        <v/>
      </c>
      <c r="G372" s="17">
        <f>IFERROR((E372-E371)/E371, 0)</f>
        <v/>
      </c>
      <c r="H372" s="17">
        <f>IFERROR((F372-F371)/F371, 0)</f>
        <v/>
      </c>
    </row>
    <row r="373" ht="20" customHeight="1">
      <c r="A373" s="18" t="n">
        <v>46138</v>
      </c>
      <c r="B373" s="19" t="n">
        <v>4740.89990234375</v>
      </c>
      <c r="C373" s="19" t="n">
        <v>76.38300323486328</v>
      </c>
      <c r="D373" s="19" t="n">
        <v>3552.72998046875</v>
      </c>
      <c r="E373" s="20">
        <f>ROUND((B373/31.1034768)*D373, 2)</f>
        <v/>
      </c>
      <c r="F373" s="20">
        <f>ROUND((C373/31.1034768)*D373, 2)</f>
        <v/>
      </c>
      <c r="G373" s="21">
        <f>IFERROR((E373-E372)/E372, 0)</f>
        <v/>
      </c>
      <c r="H373" s="21">
        <f>IFERROR((F373-F372)/F372, 0)</f>
        <v/>
      </c>
    </row>
    <row r="374" ht="20" customHeight="1">
      <c r="A374" s="14" t="n">
        <v>46139</v>
      </c>
      <c r="B374" s="15" t="n">
        <v>4693.7001953125</v>
      </c>
      <c r="C374" s="15" t="n">
        <v>75.00299835205078</v>
      </c>
      <c r="D374" s="15" t="n">
        <v>3621.8701171875</v>
      </c>
      <c r="E374" s="16">
        <f>ROUND((B374/31.1034768)*D374, 2)</f>
        <v/>
      </c>
      <c r="F374" s="16">
        <f>ROUND((C374/31.1034768)*D374, 2)</f>
        <v/>
      </c>
      <c r="G374" s="17">
        <f>IFERROR((E374-E373)/E373, 0)</f>
        <v/>
      </c>
      <c r="H374" s="17">
        <f>IFERROR((F374-F373)/F373, 0)</f>
        <v/>
      </c>
    </row>
    <row r="375" ht="20" customHeight="1">
      <c r="A375" s="18" t="n">
        <v>46140</v>
      </c>
      <c r="B375" s="19" t="n">
        <v>4608.39990234375</v>
      </c>
      <c r="C375" s="19" t="n">
        <v>73.20500183105469</v>
      </c>
      <c r="D375" s="19" t="n">
        <v>3610.199951171875</v>
      </c>
      <c r="E375" s="20">
        <f>ROUND((B375/31.1034768)*D375, 2)</f>
        <v/>
      </c>
      <c r="F375" s="20">
        <f>ROUND((C375/31.1034768)*D375, 2)</f>
        <v/>
      </c>
      <c r="G375" s="21">
        <f>IFERROR((E375-E374)/E374, 0)</f>
        <v/>
      </c>
      <c r="H375" s="21">
        <f>IFERROR((F375-F374)/F374, 0)</f>
        <v/>
      </c>
    </row>
    <row r="376" ht="20" customHeight="1">
      <c r="A376" s="14" t="n">
        <v>46141</v>
      </c>
      <c r="B376" s="15" t="n">
        <v>4561.5</v>
      </c>
      <c r="C376" s="15" t="n">
        <v>71.56900024414062</v>
      </c>
      <c r="D376" s="15" t="n">
        <v>3633.969970703125</v>
      </c>
      <c r="E376" s="16">
        <f>ROUND((B376/31.1034768)*D376, 2)</f>
        <v/>
      </c>
      <c r="F376" s="16">
        <f>ROUND((C376/31.1034768)*D376, 2)</f>
        <v/>
      </c>
      <c r="G376" s="17">
        <f>IFERROR((E376-E375)/E375, 0)</f>
        <v/>
      </c>
      <c r="H376" s="17">
        <f>IFERROR((F376-F375)/F375, 0)</f>
        <v/>
      </c>
    </row>
    <row r="377" ht="20" customHeight="1">
      <c r="A377" s="18" t="n">
        <v>46142</v>
      </c>
      <c r="B377" s="19" t="n">
        <v>4629.60009765625</v>
      </c>
      <c r="C377" s="19" t="n">
        <v>73.53399658203125</v>
      </c>
      <c r="D377" s="19" t="n">
        <v>3655.080078125</v>
      </c>
      <c r="E377" s="20">
        <f>ROUND((B377/31.1034768)*D377, 2)</f>
        <v/>
      </c>
      <c r="F377" s="20">
        <f>ROUND((C377/31.1034768)*D377, 2)</f>
        <v/>
      </c>
      <c r="G377" s="21">
        <f>IFERROR((E377-E376)/E376, 0)</f>
        <v/>
      </c>
      <c r="H377" s="21">
        <f>IFERROR((F377-F376)/F376, 0)</f>
        <v/>
      </c>
    </row>
    <row r="378" ht="20" customHeight="1">
      <c r="A378" s="14" t="n">
        <v>46143</v>
      </c>
      <c r="B378" s="15" t="n">
        <v>4644.5</v>
      </c>
      <c r="C378" s="15" t="n">
        <v>75.95099639892578</v>
      </c>
      <c r="D378" s="15" t="n">
        <v>3655.080078125</v>
      </c>
      <c r="E378" s="16">
        <f>ROUND((B378/31.1034768)*D378, 2)</f>
        <v/>
      </c>
      <c r="F378" s="16">
        <f>ROUND((C378/31.1034768)*D378, 2)</f>
        <v/>
      </c>
      <c r="G378" s="17">
        <f>IFERROR((E378-E377)/E377, 0)</f>
        <v/>
      </c>
      <c r="H378" s="17">
        <f>IFERROR((F378-F377)/F377, 0)</f>
        <v/>
      </c>
    </row>
    <row r="379" ht="20" customHeight="1">
      <c r="A379" s="18" t="n">
        <v>46145</v>
      </c>
      <c r="B379" s="19" t="n">
        <v>4644.5</v>
      </c>
      <c r="C379" s="19" t="n">
        <v>75.95099639892578</v>
      </c>
      <c r="D379" s="19" t="n">
        <v>3655.550048828125</v>
      </c>
      <c r="E379" s="20">
        <f>ROUND((B379/31.1034768)*D379, 2)</f>
        <v/>
      </c>
      <c r="F379" s="20">
        <f>ROUND((C379/31.1034768)*D379, 2)</f>
        <v/>
      </c>
      <c r="G379" s="21">
        <f>IFERROR((E379-E378)/E378, 0)</f>
        <v/>
      </c>
      <c r="H379" s="21">
        <f>IFERROR((F379-F378)/F378, 0)</f>
        <v/>
      </c>
    </row>
    <row r="380" ht="20" customHeight="1">
      <c r="A380" s="14" t="n">
        <v>46146</v>
      </c>
      <c r="B380" s="15" t="n">
        <v>4533.2998046875</v>
      </c>
      <c r="C380" s="15" t="n">
        <v>73.07199859619141</v>
      </c>
      <c r="D380" s="15" t="n">
        <v>3727.8798828125</v>
      </c>
      <c r="E380" s="16">
        <f>ROUND((B380/31.1034768)*D380, 2)</f>
        <v/>
      </c>
      <c r="F380" s="16">
        <f>ROUND((C380/31.1034768)*D380, 2)</f>
        <v/>
      </c>
      <c r="G380" s="17">
        <f>IFERROR((E380-E379)/E379, 0)</f>
        <v/>
      </c>
      <c r="H380" s="17">
        <f>IFERROR((F380-F379)/F379, 0)</f>
        <v/>
      </c>
    </row>
    <row r="381" ht="20" customHeight="1">
      <c r="A381" s="18" t="n">
        <v>46147</v>
      </c>
      <c r="B381" s="19" t="n">
        <v>4568.5</v>
      </c>
      <c r="C381" s="19" t="n">
        <v>73.10800170898438</v>
      </c>
      <c r="D381" s="19" t="n">
        <v>3712.85009765625</v>
      </c>
      <c r="E381" s="20">
        <f>ROUND((B381/31.1034768)*D381, 2)</f>
        <v/>
      </c>
      <c r="F381" s="20">
        <f>ROUND((C381/31.1034768)*D381, 2)</f>
        <v/>
      </c>
      <c r="G381" s="21">
        <f>IFERROR((E381-E380)/E380, 0)</f>
        <v/>
      </c>
      <c r="H381" s="21">
        <f>IFERROR((F381-F380)/F380, 0)</f>
        <v/>
      </c>
    </row>
    <row r="382" ht="20" customHeight="1">
      <c r="A382" s="14" t="n">
        <v>46148</v>
      </c>
      <c r="B382" s="15" t="n">
        <v>4694.2998046875</v>
      </c>
      <c r="C382" s="15" t="n">
        <v>76.81099700927734</v>
      </c>
      <c r="D382" s="15" t="n">
        <v>3725.06005859375</v>
      </c>
      <c r="E382" s="16">
        <f>ROUND((B382/31.1034768)*D382, 2)</f>
        <v/>
      </c>
      <c r="F382" s="16">
        <f>ROUND((C382/31.1034768)*D382, 2)</f>
        <v/>
      </c>
      <c r="G382" s="17">
        <f>IFERROR((E382-E381)/E381, 0)</f>
        <v/>
      </c>
      <c r="H382" s="17">
        <f>IFERROR((F382-F381)/F381, 0)</f>
        <v/>
      </c>
    </row>
    <row r="383" ht="20" customHeight="1">
      <c r="A383" s="18" t="n">
        <v>46149</v>
      </c>
      <c r="B383" s="19" t="n">
        <v>4710.89990234375</v>
      </c>
      <c r="C383" s="19" t="n">
        <v>79.70099639892578</v>
      </c>
      <c r="D383" s="19" t="n">
        <v>3737.929931640625</v>
      </c>
      <c r="E383" s="20">
        <f>ROUND((B383/31.1034768)*D383, 2)</f>
        <v/>
      </c>
      <c r="F383" s="20">
        <f>ROUND((C383/31.1034768)*D383, 2)</f>
        <v/>
      </c>
      <c r="G383" s="21">
        <f>IFERROR((E383-E382)/E382, 0)</f>
        <v/>
      </c>
      <c r="H383" s="21">
        <f>IFERROR((F383-F382)/F382, 0)</f>
        <v/>
      </c>
    </row>
    <row r="384" ht="20" customHeight="1">
      <c r="A384" s="14" t="n">
        <v>46150</v>
      </c>
      <c r="B384" s="15" t="n">
        <v>4730.7001953125</v>
      </c>
      <c r="C384" s="15" t="n">
        <v>80.39499664306641</v>
      </c>
      <c r="D384" s="15" t="n">
        <v>3737.929931640625</v>
      </c>
      <c r="E384" s="16">
        <f>ROUND((B384/31.1034768)*D384, 2)</f>
        <v/>
      </c>
      <c r="F384" s="16">
        <f>ROUND((C384/31.1034768)*D384, 2)</f>
        <v/>
      </c>
      <c r="G384" s="17">
        <f>IFERROR((E384-E383)/E383, 0)</f>
        <v/>
      </c>
      <c r="H384" s="17">
        <f>IFERROR((F384-F383)/F383, 0)</f>
        <v/>
      </c>
    </row>
    <row r="385" ht="20" customHeight="1">
      <c r="A385" s="18" t="n">
        <v>46152</v>
      </c>
      <c r="B385" s="19" t="n">
        <v>4730.7001953125</v>
      </c>
      <c r="C385" s="19" t="n">
        <v>80.39499664306641</v>
      </c>
      <c r="D385" s="19" t="n">
        <v>3748.7099609375</v>
      </c>
      <c r="E385" s="20">
        <f>ROUND((B385/31.1034768)*D385, 2)</f>
        <v/>
      </c>
      <c r="F385" s="20">
        <f>ROUND((C385/31.1034768)*D385, 2)</f>
        <v/>
      </c>
      <c r="G385" s="21">
        <f>IFERROR((E385-E384)/E384, 0)</f>
        <v/>
      </c>
      <c r="H385" s="21">
        <f>IFERROR((F385-F384)/F384, 0)</f>
        <v/>
      </c>
    </row>
    <row r="386" ht="20" customHeight="1">
      <c r="A386" s="14" t="n">
        <v>46153</v>
      </c>
      <c r="B386" s="15" t="n">
        <v>4728.7001953125</v>
      </c>
      <c r="C386" s="15" t="n">
        <v>85.48500061035156</v>
      </c>
      <c r="D386" s="15" t="n">
        <v>3760.360107421875</v>
      </c>
      <c r="E386" s="16">
        <f>ROUND((B386/31.1034768)*D386, 2)</f>
        <v/>
      </c>
      <c r="F386" s="16">
        <f>ROUND((C386/31.1034768)*D386, 2)</f>
        <v/>
      </c>
      <c r="G386" s="17">
        <f>IFERROR((E386-E385)/E385, 0)</f>
        <v/>
      </c>
      <c r="H386" s="17">
        <f>IFERROR((F386-F385)/F385, 0)</f>
        <v/>
      </c>
    </row>
    <row r="387" ht="20" customHeight="1">
      <c r="A387" s="18" t="n">
        <v>46154</v>
      </c>
      <c r="B387" s="19" t="n">
        <v>4686.7001953125</v>
      </c>
      <c r="C387" s="19" t="n">
        <v>85.12999725341797</v>
      </c>
      <c r="D387" s="19" t="n">
        <v>3786.260009765625</v>
      </c>
      <c r="E387" s="20">
        <f>ROUND((B387/31.1034768)*D387, 2)</f>
        <v/>
      </c>
      <c r="F387" s="20">
        <f>ROUND((C387/31.1034768)*D387, 2)</f>
        <v/>
      </c>
      <c r="G387" s="21">
        <f>IFERROR((E387-E386)/E386, 0)</f>
        <v/>
      </c>
      <c r="H387" s="21">
        <f>IFERROR((F387-F386)/F386, 0)</f>
        <v/>
      </c>
    </row>
    <row r="388" ht="20" customHeight="1">
      <c r="A388" s="14" t="n">
        <v>46155</v>
      </c>
      <c r="B388" s="15" t="n">
        <v>4706.7001953125</v>
      </c>
      <c r="C388" s="15" t="n">
        <v>88.88800048828125</v>
      </c>
      <c r="D388" s="15" t="n">
        <v>3792.6201171875</v>
      </c>
      <c r="E388" s="16">
        <f>ROUND((B388/31.1034768)*D388, 2)</f>
        <v/>
      </c>
      <c r="F388" s="16">
        <f>ROUND((C388/31.1034768)*D388, 2)</f>
        <v/>
      </c>
      <c r="G388" s="17">
        <f>IFERROR((E388-E387)/E387, 0)</f>
        <v/>
      </c>
      <c r="H388" s="17">
        <f>IFERROR((F388-F387)/F387, 0)</f>
        <v/>
      </c>
    </row>
    <row r="389" ht="20" customHeight="1">
      <c r="A389" s="18" t="n">
        <v>46156</v>
      </c>
      <c r="B389" s="19" t="n">
        <v>4685.2998046875</v>
      </c>
      <c r="C389" s="19" t="n">
        <v>84.91200256347656</v>
      </c>
      <c r="D389" s="19" t="n">
        <v>3787.97998046875</v>
      </c>
      <c r="E389" s="20">
        <f>ROUND((B389/31.1034768)*D389, 2)</f>
        <v/>
      </c>
      <c r="F389" s="20">
        <f>ROUND((C389/31.1034768)*D389, 2)</f>
        <v/>
      </c>
      <c r="G389" s="21">
        <f>IFERROR((E389-E388)/E388, 0)</f>
        <v/>
      </c>
      <c r="H389" s="21">
        <f>IFERROR((F389-F388)/F388, 0)</f>
        <v/>
      </c>
    </row>
    <row r="390" ht="20" customHeight="1">
      <c r="A390" s="14" t="n">
        <v>46157</v>
      </c>
      <c r="B390" s="15" t="n">
        <v>4561.89990234375</v>
      </c>
      <c r="C390" s="15" t="n">
        <v>77.16100311279297</v>
      </c>
      <c r="D390" s="15" t="n">
        <v>3787.97998046875</v>
      </c>
      <c r="E390" s="16">
        <f>ROUND((B390/31.1034768)*D390, 2)</f>
        <v/>
      </c>
      <c r="F390" s="16">
        <f>ROUND((C390/31.1034768)*D390, 2)</f>
        <v/>
      </c>
      <c r="G390" s="17">
        <f>IFERROR((E390-E389)/E389, 0)</f>
        <v/>
      </c>
      <c r="H390" s="17">
        <f>IFERROR((F390-F389)/F389, 0)</f>
        <v/>
      </c>
    </row>
    <row r="391" ht="20" customHeight="1">
      <c r="A391" s="18" t="n">
        <v>46159</v>
      </c>
      <c r="B391" s="19" t="n">
        <v>4561.89990234375</v>
      </c>
      <c r="C391" s="19" t="n">
        <v>77.16100311279297</v>
      </c>
      <c r="D391" s="19" t="n">
        <v>3797.360107421875</v>
      </c>
      <c r="E391" s="20">
        <f>ROUND((B391/31.1034768)*D391, 2)</f>
        <v/>
      </c>
      <c r="F391" s="20">
        <f>ROUND((C391/31.1034768)*D391, 2)</f>
        <v/>
      </c>
      <c r="G391" s="21">
        <f>IFERROR((E391-E390)/E390, 0)</f>
        <v/>
      </c>
      <c r="H391" s="21">
        <f>IFERROR((F391-F390)/F390, 0)</f>
        <v/>
      </c>
    </row>
    <row r="392" ht="20" customHeight="1">
      <c r="A392" s="14" t="n">
        <v>46160</v>
      </c>
      <c r="B392" s="15" t="n">
        <v>4558</v>
      </c>
      <c r="C392" s="15" t="n">
        <v>77.072998046875</v>
      </c>
      <c r="D392" s="15" t="n">
        <v>3797.6201171875</v>
      </c>
      <c r="E392" s="16">
        <f>ROUND((B392/31.1034768)*D392, 2)</f>
        <v/>
      </c>
      <c r="F392" s="16">
        <f>ROUND((C392/31.1034768)*D392, 2)</f>
        <v/>
      </c>
      <c r="G392" s="17">
        <f>IFERROR((E392-E391)/E391, 0)</f>
        <v/>
      </c>
      <c r="H392" s="17">
        <f>IFERROR((F392-F391)/F391, 0)</f>
        <v/>
      </c>
    </row>
    <row r="393" ht="20" customHeight="1">
      <c r="A393" s="18" t="n">
        <v>46161</v>
      </c>
      <c r="B393" s="19" t="n">
        <v>4511.2001953125</v>
      </c>
      <c r="C393" s="19" t="n">
        <v>74.8280029296875</v>
      </c>
      <c r="D393" s="19" t="n">
        <v>3792.75</v>
      </c>
      <c r="E393" s="20">
        <f>ROUND((B393/31.1034768)*D393, 2)</f>
        <v/>
      </c>
      <c r="F393" s="20">
        <f>ROUND((C393/31.1034768)*D393, 2)</f>
        <v/>
      </c>
      <c r="G393" s="21">
        <f>IFERROR((E393-E392)/E392, 0)</f>
        <v/>
      </c>
      <c r="H393" s="21">
        <f>IFERROR((F393-F392)/F392, 0)</f>
        <v/>
      </c>
    </row>
    <row r="394" ht="20" customHeight="1">
      <c r="A394" s="14" t="n">
        <v>46162</v>
      </c>
      <c r="B394" s="15" t="n">
        <v>4535.2998046875</v>
      </c>
      <c r="C394" s="15" t="n">
        <v>75.85099792480469</v>
      </c>
      <c r="D394" s="15" t="n">
        <v>3724.85009765625</v>
      </c>
      <c r="E394" s="16">
        <f>ROUND((B394/31.1034768)*D394, 2)</f>
        <v/>
      </c>
      <c r="F394" s="16">
        <f>ROUND((C394/31.1034768)*D394, 2)</f>
        <v/>
      </c>
      <c r="G394" s="17">
        <f>IFERROR((E394-E393)/E393, 0)</f>
        <v/>
      </c>
      <c r="H394" s="17">
        <f>IFERROR((F394-F393)/F393, 0)</f>
        <v/>
      </c>
    </row>
    <row r="395" ht="20" customHeight="1">
      <c r="A395" s="18" t="n">
        <v>46163</v>
      </c>
      <c r="B395" s="19" t="n">
        <v>4542.5</v>
      </c>
      <c r="C395" s="19" t="n">
        <v>76.41400146484375</v>
      </c>
      <c r="D395" s="19" t="n">
        <v>3690.830078125</v>
      </c>
      <c r="E395" s="20">
        <f>ROUND((B395/31.1034768)*D395, 2)</f>
        <v/>
      </c>
      <c r="F395" s="20">
        <f>ROUND((C395/31.1034768)*D395, 2)</f>
        <v/>
      </c>
      <c r="G395" s="21">
        <f>IFERROR((E395-E394)/E394, 0)</f>
        <v/>
      </c>
      <c r="H395" s="21">
        <f>IFERROR((F395-F394)/F394, 0)</f>
        <v/>
      </c>
    </row>
    <row r="396" ht="20" customHeight="1">
      <c r="A396" s="14" t="n">
        <v>46164</v>
      </c>
      <c r="B396" s="15" t="n">
        <v>4523.2001953125</v>
      </c>
      <c r="C396" s="15" t="n">
        <v>75.89299774169922</v>
      </c>
      <c r="D396" s="15" t="n">
        <v>3690.830078125</v>
      </c>
      <c r="E396" s="16">
        <f>ROUND((B396/31.1034768)*D396, 2)</f>
        <v/>
      </c>
      <c r="F396" s="16">
        <f>ROUND((C396/31.1034768)*D396, 2)</f>
        <v/>
      </c>
      <c r="G396" s="17">
        <f>IFERROR((E396-E395)/E395, 0)</f>
        <v/>
      </c>
      <c r="H396" s="17">
        <f>IFERROR((F396-F395)/F395, 0)</f>
        <v/>
      </c>
    </row>
    <row r="397" ht="20" customHeight="1">
      <c r="A397" s="18" t="n">
        <v>46166</v>
      </c>
      <c r="B397" s="19" t="n">
        <v>4523.2001953125</v>
      </c>
      <c r="C397" s="19" t="n">
        <v>75.89299774169922</v>
      </c>
      <c r="D397" s="19" t="n">
        <v>3679.929931640625</v>
      </c>
      <c r="E397" s="20">
        <f>ROUND((B397/31.1034768)*D397, 2)</f>
        <v/>
      </c>
      <c r="F397" s="20">
        <f>ROUND((C397/31.1034768)*D397, 2)</f>
        <v/>
      </c>
      <c r="G397" s="21">
        <f>IFERROR((E397-E396)/E396, 0)</f>
        <v/>
      </c>
      <c r="H397" s="21">
        <f>IFERROR((F397-F396)/F396, 0)</f>
        <v/>
      </c>
    </row>
    <row r="398" ht="20" customHeight="1">
      <c r="A398" s="14" t="n">
        <v>46167</v>
      </c>
      <c r="B398" s="15" t="n">
        <v>4523.2001953125</v>
      </c>
      <c r="C398" s="15" t="n">
        <v>75.89299774169922</v>
      </c>
      <c r="D398" s="15" t="n">
        <v>3632.610107421875</v>
      </c>
      <c r="E398" s="16">
        <f>ROUND((B398/31.1034768)*D398, 2)</f>
        <v/>
      </c>
      <c r="F398" s="16">
        <f>ROUND((C398/31.1034768)*D398, 2)</f>
        <v/>
      </c>
      <c r="G398" s="17">
        <f>IFERROR((E398-E397)/E397, 0)</f>
        <v/>
      </c>
      <c r="H398" s="17">
        <f>IFERROR((F398-F397)/F397, 0)</f>
        <v/>
      </c>
    </row>
    <row r="399" ht="20" customHeight="1">
      <c r="A399" s="18" t="n">
        <v>46168</v>
      </c>
      <c r="B399" s="19" t="n">
        <v>4502.2998046875</v>
      </c>
      <c r="C399" s="19" t="n">
        <v>76.30500030517578</v>
      </c>
      <c r="D399" s="19" t="n">
        <v>3672.18994140625</v>
      </c>
      <c r="E399" s="20">
        <f>ROUND((B399/31.1034768)*D399, 2)</f>
        <v/>
      </c>
      <c r="F399" s="20">
        <f>ROUND((C399/31.1034768)*D399, 2)</f>
        <v/>
      </c>
      <c r="G399" s="21">
        <f>IFERROR((E399-E398)/E398, 0)</f>
        <v/>
      </c>
      <c r="H399" s="21">
        <f>IFERROR((F399-F398)/F398, 0)</f>
        <v/>
      </c>
    </row>
    <row r="400" ht="20" customHeight="1">
      <c r="A400" s="14" t="n">
        <v>46169</v>
      </c>
      <c r="B400" s="15" t="n">
        <v>4448.39990234375</v>
      </c>
      <c r="C400" s="15" t="n">
        <v>74.5989990234375</v>
      </c>
      <c r="D400" s="15" t="n">
        <v>3635.659912109375</v>
      </c>
      <c r="E400" s="16">
        <f>ROUND((B400/31.1034768)*D400, 2)</f>
        <v/>
      </c>
      <c r="F400" s="16">
        <f>ROUND((C400/31.1034768)*D400, 2)</f>
        <v/>
      </c>
      <c r="G400" s="17">
        <f>IFERROR((E400-E399)/E399, 0)</f>
        <v/>
      </c>
      <c r="H400" s="17">
        <f>IFERROR((F400-F399)/F399, 0)</f>
        <v/>
      </c>
    </row>
    <row r="401" ht="20" customHeight="1">
      <c r="A401" s="18" t="n">
        <v>46170</v>
      </c>
      <c r="B401" s="19" t="n">
        <v>4499.2998046875</v>
      </c>
      <c r="C401" s="19" t="n">
        <v>75.64499664306641</v>
      </c>
      <c r="D401" s="19" t="n">
        <v>3651.300048828125</v>
      </c>
      <c r="E401" s="20">
        <f>ROUND((B401/31.1034768)*D401, 2)</f>
        <v/>
      </c>
      <c r="F401" s="20">
        <f>ROUND((C401/31.1034768)*D401, 2)</f>
        <v/>
      </c>
      <c r="G401" s="21">
        <f>IFERROR((E401-E400)/E400, 0)</f>
        <v/>
      </c>
      <c r="H401" s="21">
        <f>IFERROR((F401-F400)/F400, 0)</f>
        <v/>
      </c>
    </row>
    <row r="402" ht="20" customHeight="1">
      <c r="A402" s="14" t="n">
        <v>46171</v>
      </c>
      <c r="B402" s="15" t="n">
        <v>4593</v>
      </c>
      <c r="C402" s="15" t="n">
        <v>75.61599731445312</v>
      </c>
      <c r="D402" s="15" t="n">
        <v>3651.300048828125</v>
      </c>
      <c r="E402" s="16">
        <f>ROUND((B402/31.1034768)*D402, 2)</f>
        <v/>
      </c>
      <c r="F402" s="16">
        <f>ROUND((C402/31.1034768)*D402, 2)</f>
        <v/>
      </c>
      <c r="G402" s="17">
        <f>IFERROR((E402-E401)/E401, 0)</f>
        <v/>
      </c>
      <c r="H402" s="17">
        <f>IFERROR((F402-F401)/F401, 0)</f>
        <v/>
      </c>
    </row>
    <row r="403" ht="20" customHeight="1">
      <c r="A403" s="18" t="n">
        <v>46173</v>
      </c>
      <c r="B403" s="19" t="n">
        <v>4593</v>
      </c>
      <c r="C403" s="19" t="n">
        <v>75.61599731445312</v>
      </c>
      <c r="D403" s="19" t="n">
        <v>3679.300048828125</v>
      </c>
      <c r="E403" s="20">
        <f>ROUND((B403/31.1034768)*D403, 2)</f>
        <v/>
      </c>
      <c r="F403" s="20">
        <f>ROUND((C403/31.1034768)*D403, 2)</f>
        <v/>
      </c>
      <c r="G403" s="21">
        <f>IFERROR((E403-E402)/E402, 0)</f>
        <v/>
      </c>
      <c r="H403" s="21">
        <f>IFERROR((F403-F402)/F402, 0)</f>
        <v/>
      </c>
    </row>
    <row r="404" ht="20" customHeight="1">
      <c r="A404" s="14" t="n">
        <v>46174</v>
      </c>
      <c r="B404" s="15" t="n">
        <v>4506.2998046875</v>
      </c>
      <c r="C404" s="15" t="n">
        <v>75.00700378417969</v>
      </c>
      <c r="D404" s="15" t="n">
        <v>3565.52001953125</v>
      </c>
      <c r="E404" s="16">
        <f>ROUND((B404/31.1034768)*D404, 2)</f>
        <v/>
      </c>
      <c r="F404" s="16">
        <f>ROUND((C404/31.1034768)*D404, 2)</f>
        <v/>
      </c>
      <c r="G404" s="17">
        <f>IFERROR((E404-E403)/E403, 0)</f>
        <v/>
      </c>
      <c r="H404" s="17">
        <f>IFERROR((F404-F403)/F403, 0)</f>
        <v/>
      </c>
    </row>
    <row r="405" ht="20" customHeight="1">
      <c r="A405" s="18" t="n">
        <v>46175</v>
      </c>
      <c r="B405" s="19" t="n">
        <v>4519.89990234375</v>
      </c>
      <c r="C405" s="19" t="n">
        <v>75.31099700927734</v>
      </c>
      <c r="D405" s="19" t="n">
        <v>3587.260009765625</v>
      </c>
      <c r="E405" s="20">
        <f>ROUND((B405/31.1034768)*D405, 2)</f>
        <v/>
      </c>
      <c r="F405" s="20">
        <f>ROUND((C405/31.1034768)*D405, 2)</f>
        <v/>
      </c>
      <c r="G405" s="21">
        <f>IFERROR((E405-E404)/E404, 0)</f>
        <v/>
      </c>
      <c r="H405" s="21">
        <f>IFERROR((F405-F404)/F404, 0)</f>
        <v/>
      </c>
    </row>
    <row r="406" ht="20" customHeight="1">
      <c r="A406" s="14" t="n">
        <v>46176</v>
      </c>
      <c r="B406" s="15" t="n">
        <v>4466.89990234375</v>
      </c>
      <c r="C406" s="15" t="n">
        <v>73.47599792480469</v>
      </c>
      <c r="D406" s="15" t="n">
        <v>3575.070068359375</v>
      </c>
      <c r="E406" s="16">
        <f>ROUND((B406/31.1034768)*D406, 2)</f>
        <v/>
      </c>
      <c r="F406" s="16">
        <f>ROUND((C406/31.1034768)*D406, 2)</f>
        <v/>
      </c>
      <c r="G406" s="17">
        <f>IFERROR((E406-E405)/E405, 0)</f>
        <v/>
      </c>
      <c r="H406" s="17">
        <f>IFERROR((F406-F405)/F405, 0)</f>
        <v/>
      </c>
    </row>
    <row r="407" ht="20" customHeight="1">
      <c r="A407" s="18" t="n">
        <v>46177</v>
      </c>
      <c r="B407" s="19" t="n">
        <v>4505</v>
      </c>
      <c r="C407" s="19" t="n">
        <v>73.77899932861328</v>
      </c>
      <c r="D407" s="19" t="n">
        <v>3577.669921875</v>
      </c>
      <c r="E407" s="20">
        <f>ROUND((B407/31.1034768)*D407, 2)</f>
        <v/>
      </c>
      <c r="F407" s="20">
        <f>ROUND((C407/31.1034768)*D407, 2)</f>
        <v/>
      </c>
      <c r="G407" s="21">
        <f>IFERROR((E407-E406)/E406, 0)</f>
        <v/>
      </c>
      <c r="H407" s="21">
        <f>IFERROR((F407-F406)/F406, 0)</f>
        <v/>
      </c>
    </row>
    <row r="408" ht="20" customHeight="1">
      <c r="A408" s="14" t="n">
        <v>46178</v>
      </c>
      <c r="B408" s="15" t="n">
        <v>4365.2998046875</v>
      </c>
      <c r="C408" s="15" t="n">
        <v>68.94300079345703</v>
      </c>
      <c r="D408" s="15" t="n">
        <v>3577.669921875</v>
      </c>
      <c r="E408" s="16">
        <f>ROUND((B408/31.1034768)*D408, 2)</f>
        <v/>
      </c>
      <c r="F408" s="16">
        <f>ROUND((C408/31.1034768)*D408, 2)</f>
        <v/>
      </c>
      <c r="G408" s="17">
        <f>IFERROR((E408-E407)/E407, 0)</f>
        <v/>
      </c>
      <c r="H408" s="17">
        <f>IFERROR((F408-F407)/F407, 0)</f>
        <v/>
      </c>
    </row>
    <row r="409" ht="20" customHeight="1">
      <c r="A409" s="18" t="n">
        <v>46180</v>
      </c>
      <c r="B409" s="19" t="n">
        <v>4365.2998046875</v>
      </c>
      <c r="C409" s="19" t="n">
        <v>68.94300079345703</v>
      </c>
      <c r="D409" s="19" t="n">
        <v>3604.260009765625</v>
      </c>
      <c r="E409" s="20">
        <f>ROUND((B409/31.1034768)*D409, 2)</f>
        <v/>
      </c>
      <c r="F409" s="20">
        <f>ROUND((C409/31.1034768)*D409, 2)</f>
        <v/>
      </c>
      <c r="G409" s="21">
        <f>IFERROR((E409-E408)/E408, 0)</f>
        <v/>
      </c>
      <c r="H409" s="21">
        <f>IFERROR((F409-F408)/F408, 0)</f>
        <v/>
      </c>
    </row>
    <row r="410" ht="20" customHeight="1">
      <c r="A410" s="14" t="n">
        <v>46181</v>
      </c>
      <c r="B410" s="15" t="n">
        <v>4363.39990234375</v>
      </c>
      <c r="C410" s="15" t="n">
        <v>68.42500305175781</v>
      </c>
      <c r="D410" s="15" t="n">
        <v>3593.070068359375</v>
      </c>
      <c r="E410" s="16">
        <f>ROUND((B410/31.1034768)*D410, 2)</f>
        <v/>
      </c>
      <c r="F410" s="16">
        <f>ROUND((C410/31.1034768)*D410, 2)</f>
        <v/>
      </c>
      <c r="G410" s="17">
        <f>IFERROR((E410-E409)/E409, 0)</f>
        <v/>
      </c>
      <c r="H410" s="17">
        <f>IFERROR((F410-F409)/F409, 0)</f>
        <v/>
      </c>
    </row>
    <row r="411" ht="20" customHeight="1">
      <c r="A411" s="18" t="n">
        <v>46182</v>
      </c>
      <c r="B411" s="19" t="n">
        <v>4286.39990234375</v>
      </c>
      <c r="C411" s="19" t="n">
        <v>65.09400177001953</v>
      </c>
      <c r="D411" s="19" t="n">
        <v>3574.93994140625</v>
      </c>
      <c r="E411" s="20">
        <f>ROUND((B411/31.1034768)*D411, 2)</f>
        <v/>
      </c>
      <c r="F411" s="20">
        <f>ROUND((C411/31.1034768)*D411, 2)</f>
        <v/>
      </c>
      <c r="G411" s="21">
        <f>IFERROR((E411-E410)/E410, 0)</f>
        <v/>
      </c>
      <c r="H411" s="21">
        <f>IFERROR((F411-F410)/F410, 0)</f>
        <v/>
      </c>
    </row>
    <row r="412" ht="20" customHeight="1">
      <c r="A412" s="14" t="n">
        <v>46183</v>
      </c>
      <c r="B412" s="15" t="n">
        <v>4133.2998046875</v>
      </c>
      <c r="C412" s="15" t="n">
        <v>64.5989990234375</v>
      </c>
      <c r="D412" s="15" t="n">
        <v>3558.669921875</v>
      </c>
      <c r="E412" s="16">
        <f>ROUND((B412/31.1034768)*D412, 2)</f>
        <v/>
      </c>
      <c r="F412" s="16">
        <f>ROUND((C412/31.1034768)*D412, 2)</f>
        <v/>
      </c>
      <c r="G412" s="17">
        <f>IFERROR((E412-E411)/E411, 0)</f>
        <v/>
      </c>
      <c r="H412" s="17">
        <f>IFERROR((F412-F411)/F411, 0)</f>
        <v/>
      </c>
    </row>
    <row r="413" ht="20" customHeight="1">
      <c r="A413" s="18" t="n">
        <v>46184</v>
      </c>
      <c r="B413" s="19" t="n">
        <v>4114</v>
      </c>
      <c r="C413" s="19" t="n">
        <v>63.8849983215332</v>
      </c>
      <c r="D413" s="19" t="n">
        <v>3500.1298828125</v>
      </c>
      <c r="E413" s="20">
        <f>ROUND((B413/31.1034768)*D413, 2)</f>
        <v/>
      </c>
      <c r="F413" s="20">
        <f>ROUND((C413/31.1034768)*D413, 2)</f>
        <v/>
      </c>
      <c r="G413" s="21">
        <f>IFERROR((E413-E412)/E412, 0)</f>
        <v/>
      </c>
      <c r="H413" s="21">
        <f>IFERROR((F413-F412)/F412, 0)</f>
        <v/>
      </c>
    </row>
    <row r="414" ht="20" customHeight="1">
      <c r="A414" s="14" t="n">
        <v>46185</v>
      </c>
      <c r="B414" s="15" t="n">
        <v>4238.7998046875</v>
      </c>
      <c r="C414" s="15" t="n">
        <v>67.85900115966797</v>
      </c>
      <c r="D414" s="15" t="n">
        <v>3500.1298828125</v>
      </c>
      <c r="E414" s="16">
        <f>ROUND((B414/31.1034768)*D414, 2)</f>
        <v/>
      </c>
      <c r="F414" s="16">
        <f>ROUND((C414/31.1034768)*D414, 2)</f>
        <v/>
      </c>
      <c r="G414" s="17">
        <f>IFERROR((E414-E413)/E413, 0)</f>
        <v/>
      </c>
      <c r="H414" s="17">
        <f>IFERROR((F414-F413)/F413, 0)</f>
        <v/>
      </c>
    </row>
    <row r="415" ht="20" customHeight="1">
      <c r="A415" s="18" t="n">
        <v>46187</v>
      </c>
      <c r="B415" s="19" t="n">
        <v>4238.7998046875</v>
      </c>
      <c r="C415" s="19" t="n">
        <v>67.85900115966797</v>
      </c>
      <c r="D415" s="19" t="n">
        <v>3490.780029296875</v>
      </c>
      <c r="E415" s="20">
        <f>ROUND((B415/31.1034768)*D415, 2)</f>
        <v/>
      </c>
      <c r="F415" s="20">
        <f>ROUND((C415/31.1034768)*D415, 2)</f>
        <v/>
      </c>
      <c r="G415" s="21">
        <f>IFERROR((E415-E414)/E414, 0)</f>
        <v/>
      </c>
      <c r="H415" s="21">
        <f>IFERROR((F415-F414)/F414, 0)</f>
        <v/>
      </c>
    </row>
    <row r="416" ht="20" customHeight="1">
      <c r="A416" s="14" t="n">
        <v>46188</v>
      </c>
      <c r="B416" s="15" t="n">
        <v>4351.60009765625</v>
      </c>
      <c r="C416" s="15" t="n">
        <v>70.06600189208984</v>
      </c>
      <c r="D416" s="15" t="n">
        <v>3489.699951171875</v>
      </c>
      <c r="E416" s="16">
        <f>ROUND((B416/31.1034768)*D416, 2)</f>
        <v/>
      </c>
      <c r="F416" s="16">
        <f>ROUND((C416/31.1034768)*D416, 2)</f>
        <v/>
      </c>
      <c r="G416" s="17">
        <f>IFERROR((E416-E415)/E415, 0)</f>
        <v/>
      </c>
      <c r="H416" s="17">
        <f>IFERROR((F416-F415)/F415, 0)</f>
        <v/>
      </c>
    </row>
    <row r="417" ht="20" customHeight="1">
      <c r="A417" s="18" t="n">
        <v>46189</v>
      </c>
      <c r="B417" s="19" t="n">
        <v>4354.39990234375</v>
      </c>
      <c r="C417" s="19" t="n">
        <v>69.89900207519531</v>
      </c>
      <c r="D417" s="19" t="n">
        <v>3433.39990234375</v>
      </c>
      <c r="E417" s="20">
        <f>ROUND((B417/31.1034768)*D417, 2)</f>
        <v/>
      </c>
      <c r="F417" s="20">
        <f>ROUND((C417/31.1034768)*D417, 2)</f>
        <v/>
      </c>
      <c r="G417" s="21">
        <f>IFERROR((E417-E416)/E416, 0)</f>
        <v/>
      </c>
      <c r="H417" s="21">
        <f>IFERROR((F417-F416)/F416, 0)</f>
        <v/>
      </c>
    </row>
    <row r="418" ht="20" customHeight="1">
      <c r="A418" s="14" t="n">
        <v>46190</v>
      </c>
      <c r="B418" s="15" t="n">
        <v>4381.39990234375</v>
      </c>
      <c r="C418" s="15" t="n">
        <v>70.69599914550781</v>
      </c>
      <c r="D418" s="15" t="n">
        <v>3458.800048828125</v>
      </c>
      <c r="E418" s="16">
        <f>ROUND((B418/31.1034768)*D418, 2)</f>
        <v/>
      </c>
      <c r="F418" s="16">
        <f>ROUND((C418/31.1034768)*D418, 2)</f>
        <v/>
      </c>
      <c r="G418" s="17">
        <f>IFERROR((E418-E417)/E417, 0)</f>
        <v/>
      </c>
      <c r="H418" s="17">
        <f>IFERROR((F418-F417)/F417, 0)</f>
        <v/>
      </c>
    </row>
    <row r="419" ht="20" customHeight="1">
      <c r="A419" s="18" t="n">
        <v>46191</v>
      </c>
      <c r="B419" s="19" t="n">
        <v>4245.89990234375</v>
      </c>
      <c r="C419" s="19" t="n">
        <v>66.25499725341797</v>
      </c>
      <c r="D419" s="19" t="n">
        <v>3444.47998046875</v>
      </c>
      <c r="E419" s="20">
        <f>ROUND((B419/31.1034768)*D419, 2)</f>
        <v/>
      </c>
      <c r="F419" s="20">
        <f>ROUND((C419/31.1034768)*D419, 2)</f>
        <v/>
      </c>
      <c r="G419" s="21">
        <f>IFERROR((E419-E418)/E418, 0)</f>
        <v/>
      </c>
      <c r="H419" s="21">
        <f>IFERROR((F419-F418)/F418, 0)</f>
        <v/>
      </c>
    </row>
    <row r="420" ht="20" customHeight="1">
      <c r="A420" s="14" t="n">
        <v>46194</v>
      </c>
      <c r="B420" s="15" t="n">
        <v>4245.89990234375</v>
      </c>
      <c r="C420" s="15" t="n">
        <v>66.25499725341797</v>
      </c>
      <c r="D420" s="15" t="n">
        <v>3445.18994140625</v>
      </c>
      <c r="E420" s="16">
        <f>ROUND((B420/31.1034768)*D420, 2)</f>
        <v/>
      </c>
      <c r="F420" s="16">
        <f>ROUND((C420/31.1034768)*D420, 2)</f>
        <v/>
      </c>
      <c r="G420" s="17">
        <f>IFERROR((E420-E419)/E419, 0)</f>
        <v/>
      </c>
      <c r="H420" s="17">
        <f>IFERROR((F420-F419)/F419, 0)</f>
        <v/>
      </c>
    </row>
    <row r="421" ht="20" customHeight="1">
      <c r="A421" s="18" t="n">
        <v>46195</v>
      </c>
      <c r="B421" s="19" t="n">
        <v>4202.7001953125</v>
      </c>
      <c r="C421" s="19" t="n">
        <v>65.52700042724609</v>
      </c>
      <c r="D421" s="19" t="n">
        <v>3443.300048828125</v>
      </c>
      <c r="E421" s="20">
        <f>ROUND((B421/31.1034768)*D421, 2)</f>
        <v/>
      </c>
      <c r="F421" s="20">
        <f>ROUND((C421/31.1034768)*D421, 2)</f>
        <v/>
      </c>
      <c r="G421" s="21">
        <f>IFERROR((E421-E420)/E420, 0)</f>
        <v/>
      </c>
      <c r="H421" s="21">
        <f>IFERROR((F421-F420)/F420, 0)</f>
        <v/>
      </c>
    </row>
    <row r="422" ht="20" customHeight="1">
      <c r="A422" s="14" t="n">
        <v>46196</v>
      </c>
      <c r="B422" s="15" t="n">
        <v>4149.39990234375</v>
      </c>
      <c r="C422" s="15" t="n">
        <v>62.02000045776367</v>
      </c>
      <c r="D422" s="15" t="n">
        <v>3428.93994140625</v>
      </c>
      <c r="E422" s="16">
        <f>ROUND((B422/31.1034768)*D422, 2)</f>
        <v/>
      </c>
      <c r="F422" s="16">
        <f>ROUND((C422/31.1034768)*D422, 2)</f>
        <v/>
      </c>
      <c r="G422" s="17">
        <f>IFERROR((E422-E421)/E421, 0)</f>
        <v/>
      </c>
      <c r="H422" s="17">
        <f>IFERROR((F422-F421)/F421, 0)</f>
        <v/>
      </c>
    </row>
    <row r="423" ht="20" customHeight="1">
      <c r="A423" s="18" t="n">
        <v>46197</v>
      </c>
      <c r="B423" s="19" t="n">
        <v>4008.800048828125</v>
      </c>
      <c r="C423" s="19" t="n">
        <v>58.05199813842773</v>
      </c>
      <c r="D423" s="19" t="n">
        <v>3442.679931640625</v>
      </c>
      <c r="E423" s="20">
        <f>ROUND((B423/31.1034768)*D423, 2)</f>
        <v/>
      </c>
      <c r="F423" s="20">
        <f>ROUND((C423/31.1034768)*D423, 2)</f>
        <v/>
      </c>
      <c r="G423" s="21">
        <f>IFERROR((E423-E422)/E422, 0)</f>
        <v/>
      </c>
      <c r="H423" s="21">
        <f>IFERROR((F423-F422)/F422, 0)</f>
        <v/>
      </c>
    </row>
    <row r="424" ht="20" customHeight="1">
      <c r="A424" s="14" t="n">
        <v>46198</v>
      </c>
      <c r="B424" s="15" t="n">
        <v>4047.60009765625</v>
      </c>
      <c r="C424" s="15" t="n">
        <v>58.34799957275391</v>
      </c>
      <c r="D424" s="15" t="n">
        <v>3445.7900390625</v>
      </c>
      <c r="E424" s="16">
        <f>ROUND((B424/31.1034768)*D424, 2)</f>
        <v/>
      </c>
      <c r="F424" s="16">
        <f>ROUND((C424/31.1034768)*D424, 2)</f>
        <v/>
      </c>
      <c r="G424" s="17">
        <f>IFERROR((E424-E423)/E423, 0)</f>
        <v/>
      </c>
      <c r="H424" s="17">
        <f>IFERROR((F424-F423)/F423, 0)</f>
        <v/>
      </c>
    </row>
    <row r="425" ht="20" customHeight="1">
      <c r="A425" s="18" t="n">
        <v>46199</v>
      </c>
      <c r="B425" s="19" t="n">
        <v>4096.2998046875</v>
      </c>
      <c r="C425" s="19" t="n">
        <v>59.21699905395508</v>
      </c>
      <c r="D425" s="19" t="n">
        <v>3445.7900390625</v>
      </c>
      <c r="E425" s="20">
        <f>ROUND((B425/31.1034768)*D425, 2)</f>
        <v/>
      </c>
      <c r="F425" s="20">
        <f>ROUND((C425/31.1034768)*D425, 2)</f>
        <v/>
      </c>
      <c r="G425" s="21">
        <f>IFERROR((E425-E424)/E424, 0)</f>
        <v/>
      </c>
      <c r="H425" s="21">
        <f>IFERROR((F425-F424)/F424, 0)</f>
        <v/>
      </c>
    </row>
    <row r="426" ht="20" customHeight="1">
      <c r="A426" s="14" t="n">
        <v>46201</v>
      </c>
      <c r="B426" s="15" t="n">
        <v>4096.2998046875</v>
      </c>
      <c r="C426" s="15" t="n">
        <v>59.21699905395508</v>
      </c>
      <c r="D426" s="15" t="n">
        <v>3437.89990234375</v>
      </c>
      <c r="E426" s="16">
        <f>ROUND((B426/31.1034768)*D426, 2)</f>
        <v/>
      </c>
      <c r="F426" s="16">
        <f>ROUND((C426/31.1034768)*D426, 2)</f>
        <v/>
      </c>
      <c r="G426" s="17">
        <f>IFERROR((E426-E425)/E425, 0)</f>
        <v/>
      </c>
      <c r="H426" s="17">
        <f>IFERROR((F426-F425)/F425, 0)</f>
        <v/>
      </c>
    </row>
    <row r="427" ht="20" customHeight="1">
      <c r="A427" s="18" t="n">
        <v>46202</v>
      </c>
      <c r="B427" s="19" t="n">
        <v>4038.89990234375</v>
      </c>
      <c r="C427" s="19" t="n">
        <v>58.17499923706055</v>
      </c>
      <c r="D427" s="19" t="n">
        <v>3443.25</v>
      </c>
      <c r="E427" s="20">
        <f>ROUND((B427/31.1034768)*D427, 2)</f>
        <v/>
      </c>
      <c r="F427" s="20">
        <f>ROUND((C427/31.1034768)*D427, 2)</f>
        <v/>
      </c>
      <c r="G427" s="21">
        <f>IFERROR((E427-E426)/E426, 0)</f>
        <v/>
      </c>
      <c r="H427" s="21">
        <f>IFERROR((F427-F426)/F426, 0)</f>
        <v/>
      </c>
    </row>
    <row r="428" ht="20" customHeight="1">
      <c r="A428" s="14" t="n">
        <v>46203</v>
      </c>
      <c r="B428" s="15" t="n">
        <v>4038.5</v>
      </c>
      <c r="C428" s="15" t="n">
        <v>59.47700119018555</v>
      </c>
      <c r="D428" s="15" t="n">
        <v>3429.4599609375</v>
      </c>
      <c r="E428" s="16">
        <f>ROUND((B428/31.1034768)*D428, 2)</f>
        <v/>
      </c>
      <c r="F428" s="16">
        <f>ROUND((C428/31.1034768)*D428, 2)</f>
        <v/>
      </c>
      <c r="G428" s="17">
        <f>IFERROR((E428-E427)/E427, 0)</f>
        <v/>
      </c>
      <c r="H428" s="17">
        <f>IFERROR((F428-F427)/F427, 0)</f>
        <v/>
      </c>
    </row>
    <row r="429" ht="20" customHeight="1">
      <c r="A429" s="18" t="n">
        <v>46204</v>
      </c>
      <c r="B429" s="19" t="n">
        <v>4082.39990234375</v>
      </c>
      <c r="C429" s="19" t="n">
        <v>60.08499908447266</v>
      </c>
      <c r="D429" s="19" t="n">
        <v>3387.239990234375</v>
      </c>
      <c r="E429" s="20">
        <f>ROUND((B429/31.1034768)*D429, 2)</f>
        <v/>
      </c>
      <c r="F429" s="20">
        <f>ROUND((C429/31.1034768)*D429, 2)</f>
        <v/>
      </c>
      <c r="G429" s="21">
        <f>IFERROR((E429-E428)/E428, 0)</f>
        <v/>
      </c>
      <c r="H429" s="21">
        <f>IFERROR((F429-F428)/F428, 0)</f>
        <v/>
      </c>
    </row>
    <row r="430" ht="20" customHeight="1">
      <c r="A430" s="14" t="n">
        <v>46205</v>
      </c>
      <c r="B430" s="15" t="n">
        <v>4125.7001953125</v>
      </c>
      <c r="C430" s="15" t="n">
        <v>60.64300155639648</v>
      </c>
      <c r="D430" s="15" t="n">
        <v>3366.89990234375</v>
      </c>
      <c r="E430" s="16">
        <f>ROUND((B430/31.1034768)*D430, 2)</f>
        <v/>
      </c>
      <c r="F430" s="16">
        <f>ROUND((C430/31.1034768)*D430, 2)</f>
        <v/>
      </c>
      <c r="G430" s="17">
        <f>IFERROR((E430-E429)/E429, 0)</f>
        <v/>
      </c>
      <c r="H430" s="17">
        <f>IFERROR((F430-F429)/F429, 0)</f>
        <v/>
      </c>
    </row>
    <row r="431" ht="20" customHeight="1">
      <c r="A431" s="18" t="n">
        <v>46208</v>
      </c>
      <c r="B431" s="19" t="n">
        <v>4125.7001953125</v>
      </c>
      <c r="C431" s="19" t="n">
        <v>60.64300155639648</v>
      </c>
      <c r="D431" s="19" t="n">
        <v>3344.919921875</v>
      </c>
      <c r="E431" s="20">
        <f>ROUND((B431/31.1034768)*D431, 2)</f>
        <v/>
      </c>
      <c r="F431" s="20">
        <f>ROUND((C431/31.1034768)*D431, 2)</f>
        <v/>
      </c>
      <c r="G431" s="21">
        <f>IFERROR((E431-E430)/E430, 0)</f>
        <v/>
      </c>
      <c r="H431" s="21">
        <f>IFERROR((F431-F430)/F430, 0)</f>
        <v/>
      </c>
    </row>
    <row r="432" ht="20" customHeight="1">
      <c r="A432" s="14" t="n">
        <v>46209</v>
      </c>
      <c r="B432" s="15" t="n">
        <v>4167.5</v>
      </c>
      <c r="C432" s="15" t="n">
        <v>61.91999816894531</v>
      </c>
      <c r="D432" s="15" t="n">
        <v>3353.22998046875</v>
      </c>
      <c r="E432" s="16">
        <f>ROUND((B432/31.1034768)*D432, 2)</f>
        <v/>
      </c>
      <c r="F432" s="16">
        <f>ROUND((C432/31.1034768)*D432, 2)</f>
        <v/>
      </c>
      <c r="G432" s="17">
        <f>IFERROR((E432-E431)/E431, 0)</f>
        <v/>
      </c>
      <c r="H432" s="17">
        <f>IFERROR((F432-F431)/F431, 0)</f>
        <v/>
      </c>
    </row>
    <row r="433" ht="20" customHeight="1">
      <c r="A433" s="18" t="n">
        <v>46210</v>
      </c>
      <c r="B433" s="19" t="n">
        <v>4157.39990234375</v>
      </c>
      <c r="C433" s="19" t="n">
        <v>60.93099975585938</v>
      </c>
      <c r="D433" s="19" t="n">
        <v>3338.14990234375</v>
      </c>
      <c r="E433" s="20">
        <f>ROUND((B433/31.1034768)*D433, 2)</f>
        <v/>
      </c>
      <c r="F433" s="20">
        <f>ROUND((C433/31.1034768)*D433, 2)</f>
        <v/>
      </c>
      <c r="G433" s="21">
        <f>IFERROR((E433-E432)/E432, 0)</f>
        <v/>
      </c>
      <c r="H433" s="21">
        <f>IFERROR((F433-F432)/F432, 0)</f>
        <v/>
      </c>
    </row>
    <row r="434" ht="20" customHeight="1">
      <c r="A434" s="14" t="n">
        <v>46211</v>
      </c>
      <c r="B434" s="15" t="n">
        <v>4082.39990234375</v>
      </c>
      <c r="C434" s="15" t="n">
        <v>58.16400146484375</v>
      </c>
      <c r="D434" s="15" t="n">
        <v>3343.110107421875</v>
      </c>
      <c r="E434" s="16">
        <f>ROUND((B434/31.1034768)*D434, 2)</f>
        <v/>
      </c>
      <c r="F434" s="16">
        <f>ROUND((C434/31.1034768)*D434, 2)</f>
        <v/>
      </c>
      <c r="G434" s="17">
        <f>IFERROR((E434-E433)/E433, 0)</f>
        <v/>
      </c>
      <c r="H434" s="17">
        <f>IFERROR((F434-F433)/F433, 0)</f>
        <v/>
      </c>
    </row>
    <row r="435" ht="20" customHeight="1">
      <c r="A435" s="18" t="n">
        <v>46212</v>
      </c>
      <c r="B435" s="19" t="n">
        <v>4140.7998046875</v>
      </c>
      <c r="C435" s="19" t="n">
        <v>60.37799835205078</v>
      </c>
      <c r="D435" s="19" t="n">
        <v>3294.179931640625</v>
      </c>
      <c r="E435" s="20">
        <f>ROUND((B435/31.1034768)*D435, 2)</f>
        <v/>
      </c>
      <c r="F435" s="20">
        <f>ROUND((C435/31.1034768)*D435, 2)</f>
        <v/>
      </c>
      <c r="G435" s="21">
        <f>IFERROR((E435-E434)/E434, 0)</f>
        <v/>
      </c>
      <c r="H435" s="21">
        <f>IFERROR((F435-F434)/F434, 0)</f>
        <v/>
      </c>
    </row>
    <row r="436" ht="20" customHeight="1">
      <c r="A436" s="14" t="n">
        <v>46213</v>
      </c>
      <c r="B436" s="15" t="n">
        <v>4113.7001953125</v>
      </c>
      <c r="C436" s="15" t="n">
        <v>59.80899810791016</v>
      </c>
      <c r="D436" s="15" t="n">
        <v>3294.179931640625</v>
      </c>
      <c r="E436" s="16">
        <f>ROUND((B436/31.1034768)*D436, 2)</f>
        <v/>
      </c>
      <c r="F436" s="16">
        <f>ROUND((C436/31.1034768)*D436, 2)</f>
        <v/>
      </c>
      <c r="G436" s="17">
        <f>IFERROR((E436-E435)/E435, 0)</f>
        <v/>
      </c>
      <c r="H436" s="17">
        <f>IFERROR((F436-F435)/F435, 0)</f>
        <v/>
      </c>
    </row>
    <row r="437" ht="20" customHeight="1">
      <c r="A437" s="18" t="n">
        <v>46215</v>
      </c>
      <c r="B437" s="19" t="n">
        <v>4113.7001953125</v>
      </c>
      <c r="C437" s="19" t="n">
        <v>59.80899810791016</v>
      </c>
      <c r="D437" s="19" t="n">
        <v>3262.679931640625</v>
      </c>
      <c r="E437" s="20">
        <f>ROUND((B437/31.1034768)*D437, 2)</f>
        <v/>
      </c>
      <c r="F437" s="20">
        <f>ROUND((C437/31.1034768)*D437, 2)</f>
        <v/>
      </c>
      <c r="G437" s="21">
        <f>IFERROR((E437-E436)/E436, 0)</f>
        <v/>
      </c>
      <c r="H437" s="21">
        <f>IFERROR((F437-F436)/F436, 0)</f>
        <v/>
      </c>
    </row>
    <row r="438" ht="20" customHeight="1">
      <c r="A438" s="14" t="n">
        <v>46216</v>
      </c>
      <c r="B438" s="15" t="n">
        <v>4005.699951171875</v>
      </c>
      <c r="C438" s="15" t="n">
        <v>57.63399887084961</v>
      </c>
      <c r="D438" s="15" t="n">
        <v>3235.9599609375</v>
      </c>
      <c r="E438" s="16">
        <f>ROUND((B438/31.1034768)*D438, 2)</f>
        <v/>
      </c>
      <c r="F438" s="16">
        <f>ROUND((C438/31.1034768)*D438, 2)</f>
        <v/>
      </c>
      <c r="G438" s="17">
        <f>IFERROR((E438-E437)/E437, 0)</f>
        <v/>
      </c>
      <c r="H438" s="17">
        <f>IFERROR((F438-F437)/F437, 0)</f>
        <v/>
      </c>
    </row>
    <row r="439" ht="20" customHeight="1">
      <c r="A439" s="18" t="n">
        <v>46217</v>
      </c>
      <c r="B439" s="19" t="n">
        <v>4069.699951171875</v>
      </c>
      <c r="C439" s="19" t="n">
        <v>58.77199935913086</v>
      </c>
      <c r="D439" s="19" t="n">
        <v>3260.070068359375</v>
      </c>
      <c r="E439" s="20">
        <f>ROUND((B439/31.1034768)*D439, 2)</f>
        <v/>
      </c>
      <c r="F439" s="20">
        <f>ROUND((C439/31.1034768)*D439, 2)</f>
        <v/>
      </c>
      <c r="G439" s="21">
        <f>IFERROR((E439-E438)/E438, 0)</f>
        <v/>
      </c>
      <c r="H439" s="21">
        <f>IFERROR((F439-F438)/F438, 0)</f>
        <v/>
      </c>
    </row>
    <row r="440" ht="20" customHeight="1">
      <c r="A440" s="14" t="n">
        <v>46218</v>
      </c>
      <c r="B440" s="15" t="n">
        <v>4051.800048828125</v>
      </c>
      <c r="C440" s="15" t="n">
        <v>57.11000061035156</v>
      </c>
      <c r="D440" s="15" t="n">
        <v>3231.449951171875</v>
      </c>
      <c r="E440" s="16">
        <f>ROUND((B440/31.1034768)*D440, 2)</f>
        <v/>
      </c>
      <c r="F440" s="16">
        <f>ROUND((C440/31.1034768)*D440, 2)</f>
        <v/>
      </c>
      <c r="G440" s="17">
        <f>IFERROR((E440-E439)/E439, 0)</f>
        <v/>
      </c>
      <c r="H440" s="17">
        <f>IFERROR((F440-F439)/F439, 0)</f>
        <v/>
      </c>
    </row>
    <row r="441" ht="20" customHeight="1">
      <c r="A441" s="18" t="n">
        <v>46219</v>
      </c>
      <c r="B441" s="19" t="n">
        <v>3992.10009765625</v>
      </c>
      <c r="C441" s="19" t="n">
        <v>55.89799880981445</v>
      </c>
      <c r="D441" s="19" t="n">
        <v>3239</v>
      </c>
      <c r="E441" s="20">
        <f>ROUND((B441/31.1034768)*D441, 2)</f>
        <v/>
      </c>
      <c r="F441" s="20">
        <f>ROUND((C441/31.1034768)*D441, 2)</f>
        <v/>
      </c>
      <c r="G441" s="21">
        <f>IFERROR((E441-E440)/E440, 0)</f>
        <v/>
      </c>
      <c r="H441" s="21">
        <f>IFERROR((F441-F440)/F440, 0)</f>
        <v/>
      </c>
    </row>
    <row r="442" ht="20" customHeight="1">
      <c r="A442" s="14" t="n">
        <v>46220</v>
      </c>
      <c r="B442" s="15" t="n">
        <v>4018.800048828125</v>
      </c>
      <c r="C442" s="15" t="n">
        <v>56.03799819946289</v>
      </c>
      <c r="D442" s="15" t="n">
        <v>3239</v>
      </c>
      <c r="E442" s="16">
        <f>ROUND((B442/31.1034768)*D442, 2)</f>
        <v/>
      </c>
      <c r="F442" s="16">
        <f>ROUND((C442/31.1034768)*D442, 2)</f>
        <v/>
      </c>
      <c r="G442" s="17">
        <f>IFERROR((E442-E441)/E441, 0)</f>
        <v/>
      </c>
      <c r="H442" s="17">
        <f>IFERROR((F442-F441)/F441, 0)</f>
        <v/>
      </c>
    </row>
    <row r="443" ht="20" customHeight="1">
      <c r="A443" s="18" t="n">
        <v>46222</v>
      </c>
      <c r="B443" s="19" t="n">
        <v>4018.800048828125</v>
      </c>
      <c r="C443" s="19" t="n">
        <v>56.03799819946289</v>
      </c>
      <c r="D443" s="19" t="n">
        <v>3268.77001953125</v>
      </c>
      <c r="E443" s="20">
        <f>ROUND((B443/31.1034768)*D443, 2)</f>
        <v/>
      </c>
      <c r="F443" s="20">
        <f>ROUND((C443/31.1034768)*D443, 2)</f>
        <v/>
      </c>
      <c r="G443" s="21">
        <f>IFERROR((E443-E442)/E442, 0)</f>
        <v/>
      </c>
      <c r="H443" s="21">
        <f>IFERROR((F443-F442)/F442, 0)</f>
        <v/>
      </c>
    </row>
    <row r="444" ht="20" customHeight="1">
      <c r="A444" s="14" t="n">
        <v>46223</v>
      </c>
      <c r="B444" s="15" t="n">
        <v>4015.89990234375</v>
      </c>
      <c r="C444" s="15" t="n">
        <v>56.80199813842773</v>
      </c>
      <c r="D444" s="15" t="n">
        <v>3256.070068359375</v>
      </c>
      <c r="E444" s="16">
        <f>ROUND((B444/31.1034768)*D444, 2)</f>
        <v/>
      </c>
      <c r="F444" s="16">
        <f>ROUND((C444/31.1034768)*D444, 2)</f>
        <v/>
      </c>
      <c r="G444" s="17">
        <f>IFERROR((E444-E443)/E443, 0)</f>
        <v/>
      </c>
      <c r="H444" s="17">
        <f>IFERROR((F444-F443)/F443, 0)</f>
        <v/>
      </c>
    </row>
    <row r="445" ht="20" customHeight="1">
      <c r="A445" s="18" t="n">
        <v>46224</v>
      </c>
      <c r="B445" s="19" t="n">
        <v>4076.39990234375</v>
      </c>
      <c r="C445" s="19" t="n">
        <v>58.83499908447266</v>
      </c>
      <c r="D445" s="19" t="n">
        <v>3227.449951171875</v>
      </c>
      <c r="E445" s="20">
        <f>ROUND((B445/31.1034768)*D445, 2)</f>
        <v/>
      </c>
      <c r="F445" s="20">
        <f>ROUND((C445/31.1034768)*D445, 2)</f>
        <v/>
      </c>
      <c r="G445" s="21">
        <f>IFERROR((E445-E444)/E444, 0)</f>
        <v/>
      </c>
      <c r="H445" s="21">
        <f>IFERROR((F445-F444)/F444, 0)</f>
        <v/>
      </c>
    </row>
    <row r="446" ht="20" customHeight="1">
      <c r="A446" s="14" t="n">
        <v>46225</v>
      </c>
      <c r="B446" s="15" t="n">
        <v>4151.89990234375</v>
      </c>
      <c r="C446" s="15" t="n">
        <v>60.01900100708008</v>
      </c>
      <c r="D446" s="15" t="n">
        <v>3215.43994140625</v>
      </c>
      <c r="E446" s="16">
        <f>ROUND((B446/31.1034768)*D446, 2)</f>
        <v/>
      </c>
      <c r="F446" s="16">
        <f>ROUND((C446/31.1034768)*D446, 2)</f>
        <v/>
      </c>
      <c r="G446" s="17">
        <f>IFERROR((E446-E445)/E445, 0)</f>
        <v/>
      </c>
      <c r="H446" s="17">
        <f>IFERROR((F446-F445)/F445, 0)</f>
        <v/>
      </c>
    </row>
    <row r="447" ht="20" customHeight="1">
      <c r="A447" s="18" t="n">
        <v>46226</v>
      </c>
      <c r="B447" s="19" t="n">
        <v>4050.199951171875</v>
      </c>
      <c r="C447" s="19" t="n">
        <v>57.79800033569336</v>
      </c>
      <c r="D447" s="19" t="n">
        <v>3212.64990234375</v>
      </c>
      <c r="E447" s="20">
        <f>ROUND((B447/31.1034768)*D447, 2)</f>
        <v/>
      </c>
      <c r="F447" s="20">
        <f>ROUND((C447/31.1034768)*D447, 2)</f>
        <v/>
      </c>
      <c r="G447" s="21">
        <f>IFERROR((E447-E446)/E446, 0)</f>
        <v/>
      </c>
      <c r="H447" s="21">
        <f>IFERROR((F447-F446)/F446, 0)</f>
        <v/>
      </c>
    </row>
    <row r="448" ht="20" customHeight="1">
      <c r="A448" s="14" t="n">
        <v>46227</v>
      </c>
      <c r="B448" s="15" t="n">
        <v>4070.800048828125</v>
      </c>
      <c r="C448" s="15" t="n">
        <v>58.65599822998047</v>
      </c>
      <c r="D448" s="15" t="n">
        <v>3212.64990234375</v>
      </c>
      <c r="E448" s="16">
        <f>ROUND((B448/31.1034768)*D448, 2)</f>
        <v/>
      </c>
      <c r="F448" s="16">
        <f>ROUND((C448/31.1034768)*D448, 2)</f>
        <v/>
      </c>
      <c r="G448" s="17">
        <f>IFERROR((E448-E447)/E447, 0)</f>
        <v/>
      </c>
      <c r="H448" s="17">
        <f>IFERROR((F448-F447)/F447, 0)</f>
        <v/>
      </c>
    </row>
    <row r="449" ht="20" customHeight="1">
      <c r="A449" s="18" t="n">
        <v>46229</v>
      </c>
      <c r="B449" s="19" t="n">
        <v>4070.800048828125</v>
      </c>
      <c r="C449" s="19" t="n">
        <v>58.65599822998047</v>
      </c>
      <c r="D449" s="19" t="n">
        <v>3216.909912109375</v>
      </c>
      <c r="E449" s="20">
        <f>ROUND((B449/31.1034768)*D449, 2)</f>
        <v/>
      </c>
      <c r="F449" s="20">
        <f>ROUND((C449/31.1034768)*D449, 2)</f>
        <v/>
      </c>
      <c r="G449" s="21">
        <f>IFERROR((E449-E448)/E448, 0)</f>
        <v/>
      </c>
      <c r="H449" s="21">
        <f>IFERROR((F449-F448)/F448, 0)</f>
        <v/>
      </c>
    </row>
    <row r="450" ht="20" customHeight="1">
      <c r="A450" s="14" t="n">
        <v>46230</v>
      </c>
      <c r="B450" s="15" t="n">
        <v>4077</v>
      </c>
      <c r="C450" s="15" t="n">
        <v>58.47200012207031</v>
      </c>
      <c r="D450" s="15" t="n">
        <v>3204.340087890625</v>
      </c>
      <c r="E450" s="16">
        <f>ROUND((B450/31.1034768)*D450, 2)</f>
        <v/>
      </c>
      <c r="F450" s="16">
        <f>ROUND((C450/31.1034768)*D450, 2)</f>
        <v/>
      </c>
      <c r="G450" s="17">
        <f>IFERROR((E450-E449)/E449, 0)</f>
        <v/>
      </c>
      <c r="H450" s="17">
        <f>IFERROR((F450-F449)/F449, 0)</f>
        <v/>
      </c>
    </row>
    <row r="451" ht="20" customHeight="1">
      <c r="A451" s="18" t="n">
        <v>46231</v>
      </c>
      <c r="B451" s="19" t="n">
        <v>4038.699951171875</v>
      </c>
      <c r="C451" s="19" t="n">
        <v>57.29600143432617</v>
      </c>
      <c r="D451" s="19" t="n">
        <v>3211.110107421875</v>
      </c>
      <c r="E451" s="20">
        <f>ROUND((B451/31.1034768)*D451, 2)</f>
        <v/>
      </c>
      <c r="F451" s="20">
        <f>ROUND((C451/31.1034768)*D451, 2)</f>
        <v/>
      </c>
      <c r="G451" s="21">
        <f>IFERROR((E451-E450)/E450, 0)</f>
        <v/>
      </c>
      <c r="H451" s="21">
        <f>IFERROR((F451-F450)/F450, 0)</f>
        <v/>
      </c>
    </row>
    <row r="452" ht="20" customHeight="1">
      <c r="A452" s="14" t="n">
        <v>46232</v>
      </c>
      <c r="B452" s="15" t="n">
        <v>4036.300048828125</v>
      </c>
      <c r="C452" s="15" t="n">
        <v>57.86299896240234</v>
      </c>
      <c r="D452" s="15" t="n">
        <v>3200.659912109375</v>
      </c>
      <c r="E452" s="16">
        <f>ROUND((B452/31.1034768)*D452, 2)</f>
        <v/>
      </c>
      <c r="F452" s="16">
        <f>ROUND((C452/31.1034768)*D452, 2)</f>
        <v/>
      </c>
      <c r="G452" s="17">
        <f>IFERROR((E452-E451)/E451, 0)</f>
        <v/>
      </c>
      <c r="H452" s="17">
        <f>IFERROR((F452-F451)/F451, 0)</f>
        <v/>
      </c>
    </row>
    <row r="453" ht="20" customHeight="1">
      <c r="A453" s="18" t="n">
        <v>46233</v>
      </c>
      <c r="B453" s="19" t="n">
        <v>4100.10009765625</v>
      </c>
      <c r="C453" s="19" t="n">
        <v>58.81499862670898</v>
      </c>
      <c r="D453" s="19" t="n">
        <v>3121.929931640625</v>
      </c>
      <c r="E453" s="20">
        <f>ROUND((B453/31.1034768)*D453, 2)</f>
        <v/>
      </c>
      <c r="F453" s="20">
        <f>ROUND((C453/31.1034768)*D453, 2)</f>
        <v/>
      </c>
      <c r="G453" s="21">
        <f>IFERROR((E453-E452)/E452, 0)</f>
        <v/>
      </c>
      <c r="H453" s="21">
        <f>IFERROR((F453-F452)/F452, 0)</f>
        <v/>
      </c>
    </row>
    <row r="454" ht="20" customHeight="1">
      <c r="A454" s="14" t="n">
        <v>46234</v>
      </c>
      <c r="B454" s="15" t="n">
        <v>4107</v>
      </c>
      <c r="C454" s="15" t="n">
        <v>57.59099960327148</v>
      </c>
      <c r="D454" s="15" t="n">
        <v>3121.929931640625</v>
      </c>
      <c r="E454" s="16">
        <f>ROUND((B454/31.1034768)*D454, 2)</f>
        <v/>
      </c>
      <c r="F454" s="16">
        <f>ROUND((C454/31.1034768)*D454, 2)</f>
        <v/>
      </c>
      <c r="G454" s="17">
        <f>IFERROR((E454-E453)/E453, 0)</f>
        <v/>
      </c>
      <c r="H454" s="17">
        <f>IFERROR((F454-F453)/F453, 0)</f>
        <v/>
      </c>
    </row>
    <row r="455" ht="20" customHeight="1">
      <c r="A455" s="18" t="n">
        <v>46236</v>
      </c>
      <c r="B455" s="19" t="n">
        <v>4107</v>
      </c>
      <c r="C455" s="19" t="n">
        <v>57.59099960327148</v>
      </c>
      <c r="D455" s="19" t="n">
        <v>3133.530029296875</v>
      </c>
      <c r="E455" s="20">
        <f>ROUND((B455/31.1034768)*D455, 2)</f>
        <v/>
      </c>
      <c r="F455" s="20">
        <f>ROUND((C455/31.1034768)*D455, 2)</f>
        <v/>
      </c>
      <c r="G455" s="21">
        <f>IFERROR((E455-E454)/E454, 0)</f>
        <v/>
      </c>
      <c r="H455" s="21">
        <f>IFERROR((F455-F454)/F454, 0)</f>
        <v/>
      </c>
    </row>
    <row r="456" ht="20" customHeight="1">
      <c r="A456" s="14" t="n">
        <v>46237</v>
      </c>
      <c r="B456" s="15" t="n">
        <v>4090.5</v>
      </c>
      <c r="C456" s="15" t="n">
        <v>57.66699981689453</v>
      </c>
      <c r="D456" s="15" t="n">
        <v>3242.1298828125</v>
      </c>
      <c r="E456" s="16">
        <f>ROUND((B456/31.1034768)*D456, 2)</f>
        <v/>
      </c>
      <c r="F456" s="16">
        <f>ROUND((C456/31.1034768)*D456, 2)</f>
        <v/>
      </c>
      <c r="G456" s="17">
        <f>IFERROR((E456-E455)/E455, 0)</f>
        <v/>
      </c>
      <c r="H456" s="17">
        <f>IFERROR((F456-F455)/F455, 0)</f>
        <v/>
      </c>
    </row>
    <row r="457" ht="20" customHeight="1">
      <c r="A457" s="18" t="n">
        <v>46238</v>
      </c>
      <c r="B457" s="19" t="n">
        <v>4152.60009765625</v>
      </c>
      <c r="C457" s="19" t="n">
        <v>60.05599975585938</v>
      </c>
      <c r="D457" s="19" t="n">
        <v>3207.4599609375</v>
      </c>
      <c r="E457" s="20">
        <f>ROUND((B457/31.1034768)*D457, 2)</f>
        <v/>
      </c>
      <c r="F457" s="20">
        <f>ROUND((C457/31.1034768)*D457, 2)</f>
        <v/>
      </c>
      <c r="G457" s="21">
        <f>IFERROR((E457-E456)/E456, 0)</f>
        <v/>
      </c>
      <c r="H457" s="21">
        <f>IFERROR((F457-F456)/F456, 0)</f>
        <v/>
      </c>
    </row>
    <row r="458" ht="20" customHeight="1">
      <c r="A458" s="14" t="n">
        <v>46239</v>
      </c>
      <c r="B458" s="15" t="n">
        <v>4305.2001953125</v>
      </c>
      <c r="C458" s="15" t="n">
        <v>62.0989990234375</v>
      </c>
      <c r="D458" s="15" t="n">
        <v>3180.93994140625</v>
      </c>
      <c r="E458" s="16">
        <f>ROUND((B458/31.1034768)*D458, 2)</f>
        <v/>
      </c>
      <c r="F458" s="16">
        <f>ROUND((C458/31.1034768)*D458, 2)</f>
        <v/>
      </c>
      <c r="G458" s="17">
        <f>IFERROR((E458-E457)/E457, 0)</f>
        <v/>
      </c>
      <c r="H458" s="17">
        <f>IFERROR((F458-F457)/F457, 0)</f>
        <v/>
      </c>
    </row>
    <row r="459" ht="20" customHeight="1">
      <c r="A459" s="18" t="n">
        <v>46240</v>
      </c>
      <c r="B459" s="19" t="n">
        <v>4299.60009765625</v>
      </c>
      <c r="C459" s="19" t="n">
        <v>61.43899917602539</v>
      </c>
      <c r="D459" s="19" t="n">
        <v>3158.610107421875</v>
      </c>
      <c r="E459" s="20">
        <f>ROUND((B459/31.1034768)*D459, 2)</f>
        <v/>
      </c>
      <c r="F459" s="20">
        <f>ROUND((C459/31.1034768)*D459, 2)</f>
        <v/>
      </c>
      <c r="G459" s="21">
        <f>IFERROR((E459-E458)/E458, 0)</f>
        <v/>
      </c>
      <c r="H459" s="21">
        <f>IFERROR((F459-F458)/F458, 0)</f>
        <v/>
      </c>
    </row>
    <row r="460" ht="20" customHeight="1">
      <c r="A460" s="14" t="n">
        <v>46241</v>
      </c>
      <c r="B460" s="15" t="n">
        <v>4399.7001953125</v>
      </c>
      <c r="C460" s="15" t="n">
        <v>63.33200073242188</v>
      </c>
      <c r="D460" s="15" t="n">
        <v>3158.610107421875</v>
      </c>
      <c r="E460" s="16">
        <f>ROUND((B460/31.1034768)*D460, 2)</f>
        <v/>
      </c>
      <c r="F460" s="16">
        <f>ROUND((C460/31.1034768)*D460, 2)</f>
        <v/>
      </c>
      <c r="G460" s="17">
        <f>IFERROR((E460-E459)/E459, 0)</f>
        <v/>
      </c>
      <c r="H460" s="17">
        <f>IFERROR((F460-F459)/F459, 0)</f>
        <v/>
      </c>
    </row>
    <row r="461" ht="20" customHeight="1">
      <c r="A461" s="18" t="n">
        <v>46243</v>
      </c>
      <c r="B461" s="19" t="n">
        <v>4399.7001953125</v>
      </c>
      <c r="C461" s="19" t="n">
        <v>63.33200073242188</v>
      </c>
      <c r="D461" s="19" t="n">
        <v>3155.929931640625</v>
      </c>
      <c r="E461" s="20">
        <f>ROUND((B461/31.1034768)*D461, 2)</f>
        <v/>
      </c>
      <c r="F461" s="20">
        <f>ROUND((C461/31.1034768)*D461, 2)</f>
        <v/>
      </c>
      <c r="G461" s="21">
        <f>IFERROR((E461-E460)/E460, 0)</f>
        <v/>
      </c>
      <c r="H461" s="21">
        <f>IFERROR((F461-F460)/F460, 0)</f>
        <v/>
      </c>
    </row>
    <row r="462" ht="20" customHeight="1">
      <c r="A462" s="14" t="n">
        <v>46244</v>
      </c>
      <c r="B462" s="15" t="n">
        <v>4419.7001953125</v>
      </c>
      <c r="C462" s="15" t="n">
        <v>65.10600280761719</v>
      </c>
      <c r="D462" s="15" t="n">
        <v>3139.43994140625</v>
      </c>
      <c r="E462" s="16">
        <f>ROUND((B462/31.1034768)*D462, 2)</f>
        <v/>
      </c>
      <c r="F462" s="16">
        <f>ROUND((C462/31.1034768)*D462, 2)</f>
        <v/>
      </c>
      <c r="G462" s="17">
        <f>IFERROR((E462-E461)/E461, 0)</f>
        <v/>
      </c>
      <c r="H462" s="17">
        <f>IFERROR((F462-F461)/F461, 0)</f>
        <v/>
      </c>
    </row>
    <row r="463" ht="20" customHeight="1">
      <c r="A463" s="18" t="n">
        <v>46245</v>
      </c>
      <c r="B463" s="19" t="n">
        <v>4441.10009765625</v>
      </c>
      <c r="C463" s="19" t="n">
        <v>64.76899719238281</v>
      </c>
      <c r="D463" s="19" t="n">
        <v>3135.280029296875</v>
      </c>
      <c r="E463" s="20">
        <f>ROUND((B463/31.1034768)*D463, 2)</f>
        <v/>
      </c>
      <c r="F463" s="20">
        <f>ROUND((C463/31.1034768)*D463, 2)</f>
        <v/>
      </c>
      <c r="G463" s="21">
        <f>IFERROR((E463-E462)/E462, 0)</f>
        <v/>
      </c>
      <c r="H463" s="21">
        <f>IFERROR((F463-F462)/F462, 0)</f>
        <v/>
      </c>
    </row>
    <row r="464" ht="20" customHeight="1">
      <c r="A464" s="14" t="n">
        <v>46246</v>
      </c>
      <c r="B464" s="15" t="n">
        <v>4467.5</v>
      </c>
      <c r="C464" s="15" t="n">
        <v>65.55500030517578</v>
      </c>
      <c r="D464" s="15" t="n">
        <v>3146.159912109375</v>
      </c>
      <c r="E464" s="16">
        <f>ROUND((B464/31.1034768)*D464, 2)</f>
        <v/>
      </c>
      <c r="F464" s="16">
        <f>ROUND((C464/31.1034768)*D464, 2)</f>
        <v/>
      </c>
      <c r="G464" s="17">
        <f>IFERROR((E464-E463)/E463, 0)</f>
        <v/>
      </c>
      <c r="H464" s="17">
        <f>IFERROR((F464-F463)/F463, 0)</f>
        <v/>
      </c>
    </row>
    <row r="465" ht="20" customHeight="1">
      <c r="A465" s="18" t="n">
        <v>46247</v>
      </c>
      <c r="B465" s="19" t="n">
        <v>4420.39990234375</v>
      </c>
      <c r="C465" s="19" t="n">
        <v>64.87300109863281</v>
      </c>
      <c r="D465" s="19" t="n">
        <v>3123.840087890625</v>
      </c>
      <c r="E465" s="20">
        <f>ROUND((B465/31.1034768)*D465, 2)</f>
        <v/>
      </c>
      <c r="F465" s="20">
        <f>ROUND((C465/31.1034768)*D465, 2)</f>
        <v/>
      </c>
      <c r="G465" s="21">
        <f>IFERROR((E465-E464)/E464, 0)</f>
        <v/>
      </c>
      <c r="H465" s="21">
        <f>IFERROR((F465-F464)/F464, 0)</f>
        <v/>
      </c>
    </row>
    <row r="466" ht="20" customHeight="1">
      <c r="A466" s="14" t="n">
        <v>46248</v>
      </c>
      <c r="B466" s="15" t="n">
        <v>4437.2998046875</v>
      </c>
      <c r="C466" s="15" t="n">
        <v>64.98799896240234</v>
      </c>
      <c r="D466" s="15" t="n">
        <v>3123.840087890625</v>
      </c>
      <c r="E466" s="16">
        <f>ROUND((B466/31.1034768)*D466, 2)</f>
        <v/>
      </c>
      <c r="F466" s="16">
        <f>ROUND((C466/31.1034768)*D466, 2)</f>
        <v/>
      </c>
      <c r="G466" s="17">
        <f>IFERROR((E466-E465)/E465, 0)</f>
        <v/>
      </c>
      <c r="H466" s="17">
        <f>IFERROR((F466-F465)/F465, 0)</f>
        <v/>
      </c>
    </row>
    <row r="467" ht="20" customHeight="1">
      <c r="A467" s="18" t="n">
        <v>46250</v>
      </c>
      <c r="B467" s="19" t="n">
        <v>4437.2998046875</v>
      </c>
      <c r="C467" s="19" t="n">
        <v>64.98799896240234</v>
      </c>
      <c r="D467" s="19" t="n">
        <v>3130.050048828125</v>
      </c>
      <c r="E467" s="20">
        <f>ROUND((B467/31.1034768)*D467, 2)</f>
        <v/>
      </c>
      <c r="F467" s="20">
        <f>ROUND((C467/31.1034768)*D467, 2)</f>
        <v/>
      </c>
      <c r="G467" s="21">
        <f>IFERROR((E467-E466)/E466, 0)</f>
        <v/>
      </c>
      <c r="H467" s="21">
        <f>IFERROR((F467-F466)/F466, 0)</f>
        <v/>
      </c>
    </row>
    <row r="468" ht="20" customHeight="1">
      <c r="A468" s="14" t="n">
        <v>46251</v>
      </c>
      <c r="B468" s="15" t="n">
        <v>4473.7001953125</v>
      </c>
      <c r="C468" s="15" t="n">
        <v>66.12100219726562</v>
      </c>
      <c r="D468" s="15" t="n">
        <v>3132.97998046875</v>
      </c>
      <c r="E468" s="16">
        <f>ROUND((B468/31.1034768)*D468, 2)</f>
        <v/>
      </c>
      <c r="F468" s="16">
        <f>ROUND((C468/31.1034768)*D468, 2)</f>
        <v/>
      </c>
      <c r="G468" s="17">
        <f>IFERROR((E468-E467)/E467, 0)</f>
        <v/>
      </c>
      <c r="H468" s="17">
        <f>IFERROR((F468-F467)/F467, 0)</f>
        <v/>
      </c>
    </row>
    <row r="469" ht="20" customHeight="1">
      <c r="A469" s="18" t="n">
        <v>46252</v>
      </c>
      <c r="B469" s="19" t="n">
        <v>4420.60009765625</v>
      </c>
      <c r="C469" s="19" t="n">
        <v>63.94100189208984</v>
      </c>
      <c r="D469" s="19" t="n">
        <v>3106.02001953125</v>
      </c>
      <c r="E469" s="20">
        <f>ROUND((B469/31.1034768)*D469, 2)</f>
        <v/>
      </c>
      <c r="F469" s="20">
        <f>ROUND((C469/31.1034768)*D469, 2)</f>
        <v/>
      </c>
      <c r="G469" s="21">
        <f>IFERROR((E469-E468)/E468, 0)</f>
        <v/>
      </c>
      <c r="H469" s="21">
        <f>IFERROR((F469-F468)/F468, 0)</f>
        <v/>
      </c>
    </row>
    <row r="470" ht="20" customHeight="1">
      <c r="A470" s="14" t="n">
        <v>46253</v>
      </c>
      <c r="B470" s="15" t="n">
        <v>4545.2998046875</v>
      </c>
      <c r="C470" s="15" t="n">
        <v>65.73400115966797</v>
      </c>
      <c r="D470" s="15" t="n">
        <v>3051.43994140625</v>
      </c>
      <c r="E470" s="16">
        <f>ROUND((B470/31.1034768)*D470, 2)</f>
        <v/>
      </c>
      <c r="F470" s="16">
        <f>ROUND((C470/31.1034768)*D470, 2)</f>
        <v/>
      </c>
      <c r="G470" s="17">
        <f>IFERROR((E470-E469)/E469, 0)</f>
        <v/>
      </c>
      <c r="H470" s="17">
        <f>IFERROR((F470-F469)/F469, 0)</f>
        <v/>
      </c>
    </row>
    <row r="471" ht="20" customHeight="1">
      <c r="A471" s="18" t="n">
        <v>46254</v>
      </c>
      <c r="B471" s="19" t="n">
        <v>4571.39990234375</v>
      </c>
      <c r="C471" s="19" t="n">
        <v>68.0260009765625</v>
      </c>
      <c r="D471" s="19" t="n">
        <v>3074.60009765625</v>
      </c>
      <c r="E471" s="20">
        <f>ROUND((B471/31.1034768)*D471, 2)</f>
        <v/>
      </c>
      <c r="F471" s="20">
        <f>ROUND((C471/31.1034768)*D471, 2)</f>
        <v/>
      </c>
      <c r="G471" s="21">
        <f>IFERROR((E471-E470)/E470, 0)</f>
        <v/>
      </c>
      <c r="H471" s="21">
        <f>IFERROR((F471-F470)/F470, 0)</f>
        <v/>
      </c>
    </row>
    <row r="472" ht="20" customHeight="1">
      <c r="A472" s="14" t="n">
        <v>46255</v>
      </c>
      <c r="B472" s="15" t="n">
        <v>4680.60009765625</v>
      </c>
      <c r="C472" s="15" t="n">
        <v>69.46600341796875</v>
      </c>
      <c r="D472" s="15" t="n">
        <v>3074.60009765625</v>
      </c>
      <c r="E472" s="16">
        <f>ROUND((B472/31.1034768)*D472, 2)</f>
        <v/>
      </c>
      <c r="F472" s="16">
        <f>ROUND((C472/31.1034768)*D472, 2)</f>
        <v/>
      </c>
      <c r="G472" s="17">
        <f>IFERROR((E472-E471)/E471, 0)</f>
        <v/>
      </c>
      <c r="H472" s="17">
        <f>IFERROR((F472-F471)/F471, 0)</f>
        <v/>
      </c>
    </row>
    <row r="473" ht="20" customHeight="1">
      <c r="A473" s="18" t="n">
        <v>46257</v>
      </c>
      <c r="B473" s="19" t="n">
        <v>4680.60009765625</v>
      </c>
      <c r="C473" s="19" t="n">
        <v>69.46600341796875</v>
      </c>
      <c r="D473" s="19" t="n">
        <v>3044.22998046875</v>
      </c>
      <c r="E473" s="20">
        <f>ROUND((B473/31.1034768)*D473, 2)</f>
        <v/>
      </c>
      <c r="F473" s="20">
        <f>ROUND((C473/31.1034768)*D473, 2)</f>
        <v/>
      </c>
      <c r="G473" s="21">
        <f>IFERROR((E473-E472)/E472, 0)</f>
        <v/>
      </c>
      <c r="H473" s="21">
        <f>IFERROR((F473-F472)/F472, 0)</f>
        <v/>
      </c>
    </row>
    <row r="474" ht="20" customHeight="1">
      <c r="A474" s="14" t="n">
        <v>46258</v>
      </c>
      <c r="B474" s="15" t="n">
        <v>4697.7998046875</v>
      </c>
      <c r="C474" s="15" t="n">
        <v>68.54100036621094</v>
      </c>
      <c r="D474" s="15" t="n">
        <v>3063.699951171875</v>
      </c>
      <c r="E474" s="16">
        <f>ROUND((B474/31.1034768)*D474, 2)</f>
        <v/>
      </c>
      <c r="F474" s="16">
        <f>ROUND((C474/31.1034768)*D474, 2)</f>
        <v/>
      </c>
      <c r="G474" s="17">
        <f>IFERROR((E474-E473)/E473, 0)</f>
        <v/>
      </c>
      <c r="H474" s="17">
        <f>IFERROR((F474-F473)/F473, 0)</f>
        <v/>
      </c>
    </row>
    <row r="475" ht="20" customHeight="1">
      <c r="A475" s="18" t="n">
        <v>46259</v>
      </c>
      <c r="B475" s="19" t="n">
        <v>4694.5</v>
      </c>
      <c r="C475" s="19" t="n">
        <v>68.63600158691406</v>
      </c>
      <c r="D475" s="19" t="n">
        <v>3094.18994140625</v>
      </c>
      <c r="E475" s="20">
        <f>ROUND((B475/31.1034768)*D475, 2)</f>
        <v/>
      </c>
      <c r="F475" s="20">
        <f>ROUND((C475/31.1034768)*D475, 2)</f>
        <v/>
      </c>
      <c r="G475" s="21">
        <f>IFERROR((E475-E474)/E474, 0)</f>
        <v/>
      </c>
      <c r="H475" s="21">
        <f>IFERROR((F475-F474)/F474, 0)</f>
        <v/>
      </c>
    </row>
    <row r="476" ht="20" customHeight="1">
      <c r="A476" s="14" t="n">
        <v>46260</v>
      </c>
      <c r="B476" s="15" t="n">
        <v>4653.2998046875</v>
      </c>
      <c r="C476" s="15" t="n">
        <v>67.98999786376953</v>
      </c>
      <c r="D476" s="15" t="n">
        <v>3127.860107421875</v>
      </c>
      <c r="E476" s="16">
        <f>ROUND((B476/31.1034768)*D476, 2)</f>
        <v/>
      </c>
      <c r="F476" s="16">
        <f>ROUND((C476/31.1034768)*D476, 2)</f>
        <v/>
      </c>
      <c r="G476" s="17">
        <f>IFERROR((E476-E475)/E475, 0)</f>
        <v/>
      </c>
      <c r="H476" s="17">
        <f>IFERROR((F476-F475)/F475, 0)</f>
        <v/>
      </c>
    </row>
    <row r="477" ht="20" customHeight="1">
      <c r="A477" s="18" t="n">
        <v>46261</v>
      </c>
      <c r="B477" s="19" t="n">
        <v>4664</v>
      </c>
      <c r="C477" s="19" t="n">
        <v>69.42900085449219</v>
      </c>
      <c r="D477" s="19" t="n">
        <v>3162.0400390625</v>
      </c>
      <c r="E477" s="20">
        <f>ROUND((B477/31.1034768)*D477, 2)</f>
        <v/>
      </c>
      <c r="F477" s="20">
        <f>ROUND((C477/31.1034768)*D477, 2)</f>
        <v/>
      </c>
      <c r="G477" s="21">
        <f>IFERROR((E477-E476)/E476, 0)</f>
        <v/>
      </c>
      <c r="H477" s="21">
        <f>IFERROR((F477-F476)/F476, 0)</f>
        <v/>
      </c>
    </row>
    <row r="478" ht="20" customHeight="1">
      <c r="A478" s="14" t="n">
        <v>46262</v>
      </c>
      <c r="B478" s="15" t="n">
        <v>4529.89990234375</v>
      </c>
      <c r="C478" s="15" t="n">
        <v>66.99500274658203</v>
      </c>
      <c r="D478" s="15" t="n">
        <v>3162.0400390625</v>
      </c>
      <c r="E478" s="16">
        <f>ROUND((B478/31.1034768)*D478, 2)</f>
        <v/>
      </c>
      <c r="F478" s="16">
        <f>ROUND((C478/31.1034768)*D478, 2)</f>
        <v/>
      </c>
      <c r="G478" s="17">
        <f>IFERROR((E478-E477)/E477, 0)</f>
        <v/>
      </c>
      <c r="H478" s="17">
        <f>IFERROR((F478-F477)/F477, 0)</f>
        <v/>
      </c>
    </row>
    <row r="479" ht="20" customHeight="1">
      <c r="A479" s="18" t="n">
        <v>46264</v>
      </c>
      <c r="B479" s="19" t="n">
        <v>4529.89990234375</v>
      </c>
      <c r="C479" s="19" t="n">
        <v>66.99500274658203</v>
      </c>
      <c r="D479" s="19" t="n">
        <v>3201.449951171875</v>
      </c>
      <c r="E479" s="20">
        <f>ROUND((B479/31.1034768)*D479, 2)</f>
        <v/>
      </c>
      <c r="F479" s="20">
        <f>ROUND((C479/31.1034768)*D479, 2)</f>
        <v/>
      </c>
      <c r="G479" s="21">
        <f>IFERROR((E479-E478)/E478, 0)</f>
        <v/>
      </c>
      <c r="H479" s="21">
        <f>IFERROR((F479-F478)/F478, 0)</f>
        <v/>
      </c>
    </row>
    <row r="480" ht="20" customHeight="1">
      <c r="A480" s="14" t="n">
        <v>46265</v>
      </c>
      <c r="B480" s="15" t="n">
        <v>4481.5</v>
      </c>
      <c r="C480" s="15" t="n">
        <v>66.22100067138672</v>
      </c>
      <c r="D480" s="15" t="n">
        <v>3208.6298828125</v>
      </c>
      <c r="E480" s="16">
        <f>ROUND((B480/31.1034768)*D480, 2)</f>
        <v/>
      </c>
      <c r="F480" s="16">
        <f>ROUND((C480/31.1034768)*D480, 2)</f>
        <v/>
      </c>
      <c r="G480" s="17">
        <f>IFERROR((E480-E479)/E479, 0)</f>
        <v/>
      </c>
      <c r="H480" s="17">
        <f>IFERROR((F480-F479)/F479, 0)</f>
        <v/>
      </c>
    </row>
    <row r="481" ht="20" customHeight="1">
      <c r="A481" s="18" t="n">
        <v>46266</v>
      </c>
      <c r="B481" s="19" t="n">
        <v>4396.39990234375</v>
      </c>
      <c r="C481" s="19" t="n">
        <v>64.61799621582031</v>
      </c>
      <c r="D481" s="19" t="n">
        <v>3169.43994140625</v>
      </c>
      <c r="E481" s="20">
        <f>ROUND((B481/31.1034768)*D481, 2)</f>
        <v/>
      </c>
      <c r="F481" s="20">
        <f>ROUND((C481/31.1034768)*D481, 2)</f>
        <v/>
      </c>
      <c r="G481" s="21">
        <f>IFERROR((E481-E480)/E480, 0)</f>
        <v/>
      </c>
      <c r="H481" s="21">
        <f>IFERROR((F481-F480)/F480, 0)</f>
        <v/>
      </c>
    </row>
    <row r="482" ht="20" customHeight="1">
      <c r="A482" s="14" t="n">
        <v>46267</v>
      </c>
      <c r="B482" s="15" t="n">
        <v>4414.60009765625</v>
      </c>
      <c r="C482" s="15" t="n">
        <v>64.72299957275391</v>
      </c>
      <c r="D482" s="15" t="n">
        <v>3159.949951171875</v>
      </c>
      <c r="E482" s="16">
        <f>ROUND((B482/31.1034768)*D482, 2)</f>
        <v/>
      </c>
      <c r="F482" s="16">
        <f>ROUND((C482/31.1034768)*D482, 2)</f>
        <v/>
      </c>
      <c r="G482" s="17">
        <f>IFERROR((E482-E481)/E481, 0)</f>
        <v/>
      </c>
      <c r="H482" s="17">
        <f>IFERROR((F482-F481)/F481, 0)</f>
        <v/>
      </c>
    </row>
    <row r="483" ht="20" customHeight="1">
      <c r="A483" s="18" t="n">
        <v>46268</v>
      </c>
      <c r="B483" s="19" t="n">
        <v>4539.89990234375</v>
      </c>
      <c r="C483" s="19" t="n">
        <v>66.97299957275391</v>
      </c>
      <c r="D483" s="19" t="n">
        <v>3152.179931640625</v>
      </c>
      <c r="E483" s="20">
        <f>ROUND((B483/31.1034768)*D483, 2)</f>
        <v/>
      </c>
      <c r="F483" s="20">
        <f>ROUND((C483/31.1034768)*D483, 2)</f>
        <v/>
      </c>
      <c r="G483" s="21">
        <f>IFERROR((E483-E482)/E482, 0)</f>
        <v/>
      </c>
      <c r="H483" s="21">
        <f>IFERROR((F483-F482)/F482, 0)</f>
        <v/>
      </c>
    </row>
    <row r="484" ht="20" customHeight="1">
      <c r="A484" s="14" t="n">
        <v>46269</v>
      </c>
      <c r="B484" s="15" t="n">
        <v>4476.60009765625</v>
      </c>
      <c r="C484" s="15" t="n">
        <v>66.0469970703125</v>
      </c>
      <c r="D484" s="15" t="n">
        <v>3152.179931640625</v>
      </c>
      <c r="E484" s="16">
        <f>ROUND((B484/31.1034768)*D484, 2)</f>
        <v/>
      </c>
      <c r="F484" s="16">
        <f>ROUND((C484/31.1034768)*D484, 2)</f>
        <v/>
      </c>
      <c r="G484" s="17">
        <f>IFERROR((E484-E483)/E483, 0)</f>
        <v/>
      </c>
      <c r="H484" s="17">
        <f>IFERROR((F484-F483)/F483, 0)</f>
        <v/>
      </c>
    </row>
    <row r="485" ht="20" customHeight="1">
      <c r="A485" s="18" t="n">
        <v>46271</v>
      </c>
      <c r="B485" s="19" t="n">
        <v>4476.60009765625</v>
      </c>
      <c r="C485" s="19" t="n">
        <v>66.0469970703125</v>
      </c>
      <c r="D485" s="19" t="n">
        <v>3128.340087890625</v>
      </c>
      <c r="E485" s="20">
        <f>ROUND((B485/31.1034768)*D485, 2)</f>
        <v/>
      </c>
      <c r="F485" s="20">
        <f>ROUND((C485/31.1034768)*D485, 2)</f>
        <v/>
      </c>
      <c r="G485" s="21">
        <f>IFERROR((E485-E484)/E484, 0)</f>
        <v/>
      </c>
      <c r="H485" s="21">
        <f>IFERROR((F485-F484)/F484, 0)</f>
        <v/>
      </c>
    </row>
    <row r="486" ht="20" customHeight="1">
      <c r="A486" s="14" t="n">
        <v>46272</v>
      </c>
      <c r="B486" s="15" t="n">
        <v>4476.60009765625</v>
      </c>
      <c r="C486" s="15" t="n">
        <v>66.0469970703125</v>
      </c>
      <c r="D486" s="15" t="n">
        <v>3126.2900390625</v>
      </c>
      <c r="E486" s="16">
        <f>ROUND((B486/31.1034768)*D486, 2)</f>
        <v/>
      </c>
      <c r="F486" s="16">
        <f>ROUND((C486/31.1034768)*D486, 2)</f>
        <v/>
      </c>
      <c r="G486" s="17">
        <f>IFERROR((E486-E485)/E485, 0)</f>
        <v/>
      </c>
      <c r="H486" s="17">
        <f>IFERROR((F486-F485)/F485, 0)</f>
        <v/>
      </c>
    </row>
    <row r="487" ht="20" customHeight="1">
      <c r="A487" s="18" t="n">
        <v>46273</v>
      </c>
      <c r="B487" s="19" t="n">
        <v>4439</v>
      </c>
      <c r="C487" s="19" t="n">
        <v>66.2969970703125</v>
      </c>
      <c r="D487" s="19" t="n">
        <v>3116.929931640625</v>
      </c>
      <c r="E487" s="20">
        <f>ROUND((B487/31.1034768)*D487, 2)</f>
        <v/>
      </c>
      <c r="F487" s="20">
        <f>ROUND((C487/31.1034768)*D487, 2)</f>
        <v/>
      </c>
      <c r="G487" s="21">
        <f>IFERROR((E487-E486)/E486, 0)</f>
        <v/>
      </c>
      <c r="H487" s="21">
        <f>IFERROR((F487-F486)/F486, 0)</f>
        <v/>
      </c>
    </row>
    <row r="488" ht="20" customHeight="1">
      <c r="A488" s="14" t="n">
        <v>46274</v>
      </c>
      <c r="B488" s="15" t="n">
        <v>4460.7001953125</v>
      </c>
      <c r="C488" s="15" t="n">
        <v>67.94200134277344</v>
      </c>
      <c r="D488" s="15" t="n">
        <v>3109.510009765625</v>
      </c>
      <c r="E488" s="16">
        <f>ROUND((B488/31.1034768)*D488, 2)</f>
        <v/>
      </c>
      <c r="F488" s="16">
        <f>ROUND((C488/31.1034768)*D488, 2)</f>
        <v/>
      </c>
      <c r="G488" s="17">
        <f>IFERROR((E488-E487)/E487, 0)</f>
        <v/>
      </c>
      <c r="H488" s="17">
        <f>IFERROR((F488-F487)/F487, 0)</f>
        <v/>
      </c>
    </row>
    <row r="489" ht="20" customHeight="1">
      <c r="A489" s="18" t="n">
        <v>46275</v>
      </c>
      <c r="B489" s="19" t="n">
        <v>4407.2998046875</v>
      </c>
      <c r="C489" s="19" t="n">
        <v>64.28399658203125</v>
      </c>
      <c r="D489" s="19" t="n">
        <v>3101.550048828125</v>
      </c>
      <c r="E489" s="20">
        <f>ROUND((B489/31.1034768)*D489, 2)</f>
        <v/>
      </c>
      <c r="F489" s="20">
        <f>ROUND((C489/31.1034768)*D489, 2)</f>
        <v/>
      </c>
      <c r="G489" s="21">
        <f>IFERROR((E489-E488)/E488, 0)</f>
        <v/>
      </c>
      <c r="H489" s="21">
        <f>IFERROR((F489-F488)/F488, 0)</f>
        <v/>
      </c>
    </row>
    <row r="490" ht="20" customHeight="1">
      <c r="A490" s="14" t="n">
        <v>46276</v>
      </c>
      <c r="B490" s="15" t="n">
        <v>4408.89990234375</v>
      </c>
      <c r="C490" s="15" t="n">
        <v>64.55400085449219</v>
      </c>
      <c r="D490" s="15" t="n">
        <v>3101.550048828125</v>
      </c>
      <c r="E490" s="16">
        <f>ROUND((B490/31.1034768)*D490, 2)</f>
        <v/>
      </c>
      <c r="F490" s="16">
        <f>ROUND((C490/31.1034768)*D490, 2)</f>
        <v/>
      </c>
      <c r="G490" s="17">
        <f>IFERROR((E490-E489)/E489, 0)</f>
        <v/>
      </c>
      <c r="H490" s="17">
        <f>IFERROR((F490-F489)/F489, 0)</f>
        <v/>
      </c>
    </row>
    <row r="491" ht="20" customHeight="1">
      <c r="A491" s="18" t="n">
        <v>46278</v>
      </c>
      <c r="B491" s="19" t="n">
        <v>4408.89990234375</v>
      </c>
      <c r="C491" s="19" t="n">
        <v>64.55400085449219</v>
      </c>
      <c r="D491" s="19" t="n">
        <v>3091.659912109375</v>
      </c>
      <c r="E491" s="20">
        <f>ROUND((B491/31.1034768)*D491, 2)</f>
        <v/>
      </c>
      <c r="F491" s="20">
        <f>ROUND((C491/31.1034768)*D491, 2)</f>
        <v/>
      </c>
      <c r="G491" s="21">
        <f>IFERROR((E491-E490)/E490, 0)</f>
        <v/>
      </c>
      <c r="H491" s="21">
        <f>IFERROR((F491-F490)/F490, 0)</f>
        <v/>
      </c>
    </row>
    <row r="492" ht="20" customHeight="1">
      <c r="A492" s="14" t="n">
        <v>46279</v>
      </c>
      <c r="B492" s="15" t="n">
        <v>4351.89990234375</v>
      </c>
      <c r="C492" s="15" t="n">
        <v>63.51300048828125</v>
      </c>
      <c r="D492" s="15" t="n">
        <v>3114.47998046875</v>
      </c>
      <c r="E492" s="16">
        <f>ROUND((B492/31.1034768)*D492, 2)</f>
        <v/>
      </c>
      <c r="F492" s="16">
        <f>ROUND((C492/31.1034768)*D492, 2)</f>
        <v/>
      </c>
      <c r="G492" s="17">
        <f>IFERROR((E492-E491)/E491, 0)</f>
        <v/>
      </c>
      <c r="H492" s="17">
        <f>IFERROR((F492-F491)/F491, 0)</f>
        <v/>
      </c>
    </row>
    <row r="493" ht="20" customHeight="1">
      <c r="A493" s="18" t="n">
        <v>46280</v>
      </c>
      <c r="B493" s="19" t="n">
        <v>4332.7998046875</v>
      </c>
      <c r="C493" s="19" t="n">
        <v>63.23600006103516</v>
      </c>
      <c r="D493" s="19" t="n">
        <v>3122.3701171875</v>
      </c>
      <c r="E493" s="20">
        <f>ROUND((B493/31.1034768)*D493, 2)</f>
        <v/>
      </c>
      <c r="F493" s="20">
        <f>ROUND((C493/31.1034768)*D493, 2)</f>
        <v/>
      </c>
      <c r="G493" s="21">
        <f>IFERROR((E493-E492)/E492, 0)</f>
        <v/>
      </c>
      <c r="H493" s="21">
        <f>IFERROR((F493-F492)/F492, 0)</f>
        <v/>
      </c>
    </row>
    <row r="494" ht="20" customHeight="1">
      <c r="A494" s="14" t="n">
        <v>46281</v>
      </c>
      <c r="B494" s="15" t="n">
        <v>4387.5</v>
      </c>
      <c r="C494" s="15" t="n">
        <v>64.28800201416016</v>
      </c>
      <c r="D494" s="15" t="n">
        <v>3132.010009765625</v>
      </c>
      <c r="E494" s="16">
        <f>ROUND((B494/31.1034768)*D494, 2)</f>
        <v/>
      </c>
      <c r="F494" s="16">
        <f>ROUND((C494/31.1034768)*D494, 2)</f>
        <v/>
      </c>
      <c r="G494" s="17">
        <f>IFERROR((E494-E493)/E493, 0)</f>
        <v/>
      </c>
      <c r="H494" s="17">
        <f>IFERROR((F494-F493)/F493, 0)</f>
        <v/>
      </c>
    </row>
    <row r="495" ht="20" customHeight="1">
      <c r="A495" s="18" t="n">
        <v>46282</v>
      </c>
      <c r="B495" s="19" t="n">
        <v>4399.7001953125</v>
      </c>
      <c r="C495" s="19" t="n">
        <v>65.47000122070312</v>
      </c>
      <c r="D495" s="19" t="n">
        <v>3166.68994140625</v>
      </c>
      <c r="E495" s="20">
        <f>ROUND((B495/31.1034768)*D495, 2)</f>
        <v/>
      </c>
      <c r="F495" s="20">
        <f>ROUND((C495/31.1034768)*D495, 2)</f>
        <v/>
      </c>
      <c r="G495" s="21">
        <f>IFERROR((E495-E494)/E494, 0)</f>
        <v/>
      </c>
      <c r="H495" s="21">
        <f>IFERROR((F495-F494)/F494, 0)</f>
        <v/>
      </c>
    </row>
    <row r="496" ht="20" customHeight="1">
      <c r="A496" s="14" t="n">
        <v>46283</v>
      </c>
      <c r="B496" s="15" t="n">
        <v>4424.89990234375</v>
      </c>
      <c r="C496" s="15" t="n">
        <v>66.55599975585938</v>
      </c>
      <c r="D496" s="15" t="n">
        <v>3166.68994140625</v>
      </c>
      <c r="E496" s="16">
        <f>ROUND((B496/31.1034768)*D496, 2)</f>
        <v/>
      </c>
      <c r="F496" s="16">
        <f>ROUND((C496/31.1034768)*D496, 2)</f>
        <v/>
      </c>
      <c r="G496" s="17">
        <f>IFERROR((E496-E495)/E495, 0)</f>
        <v/>
      </c>
      <c r="H496" s="17">
        <f>IFERROR((F496-F495)/F495, 0)</f>
        <v/>
      </c>
    </row>
    <row r="497" ht="20" customHeight="1">
      <c r="A497" s="18" t="n">
        <v>46285</v>
      </c>
      <c r="B497" s="19" t="n">
        <v>4424.89990234375</v>
      </c>
      <c r="C497" s="19" t="n">
        <v>66.55599975585938</v>
      </c>
      <c r="D497" s="19" t="n">
        <v>3176.050048828125</v>
      </c>
      <c r="E497" s="20">
        <f>ROUND((B497/31.1034768)*D497, 2)</f>
        <v/>
      </c>
      <c r="F497" s="20">
        <f>ROUND((C497/31.1034768)*D497, 2)</f>
        <v/>
      </c>
      <c r="G497" s="21">
        <f>IFERROR((E497-E496)/E496, 0)</f>
        <v/>
      </c>
      <c r="H497" s="21">
        <f>IFERROR((F497-F496)/F496, 0)</f>
        <v/>
      </c>
    </row>
    <row r="498" ht="20" customHeight="1">
      <c r="A498" s="14" t="n">
        <v>46286</v>
      </c>
      <c r="B498" s="15" t="n">
        <v>4383.89990234375</v>
      </c>
      <c r="C498" s="15" t="n">
        <v>65.82499694824219</v>
      </c>
      <c r="D498" s="15" t="n">
        <v>3203.4599609375</v>
      </c>
      <c r="E498" s="16">
        <f>ROUND((B498/31.1034768)*D498, 2)</f>
        <v/>
      </c>
      <c r="F498" s="16">
        <f>ROUND((C498/31.1034768)*D498, 2)</f>
        <v/>
      </c>
      <c r="G498" s="17">
        <f>IFERROR((E498-E497)/E497, 0)</f>
        <v/>
      </c>
      <c r="H498" s="17">
        <f>IFERROR((F498-F497)/F497, 0)</f>
        <v/>
      </c>
    </row>
    <row r="499" ht="20" customHeight="1">
      <c r="A499" s="18" t="n">
        <v>46287</v>
      </c>
      <c r="B499" s="19" t="n">
        <v>4376.39990234375</v>
      </c>
      <c r="C499" s="19" t="n">
        <v>65.93199920654297</v>
      </c>
      <c r="D499" s="19" t="n">
        <v>3208.919921875</v>
      </c>
      <c r="E499" s="20">
        <f>ROUND((B499/31.1034768)*D499, 2)</f>
        <v/>
      </c>
      <c r="F499" s="20">
        <f>ROUND((C499/31.1034768)*D499, 2)</f>
        <v/>
      </c>
      <c r="G499" s="21">
        <f>IFERROR((E499-E498)/E498, 0)</f>
        <v/>
      </c>
      <c r="H499" s="21">
        <f>IFERROR((F499-F498)/F498, 0)</f>
        <v/>
      </c>
    </row>
    <row r="500" ht="20" customHeight="1">
      <c r="A500" s="14" t="n">
        <v>46288</v>
      </c>
      <c r="B500" s="15" t="n">
        <v>4318.39990234375</v>
      </c>
      <c r="C500" s="15" t="n">
        <v>64.38200378417969</v>
      </c>
      <c r="D500" s="15" t="n">
        <v>3287.050048828125</v>
      </c>
      <c r="E500" s="16">
        <f>ROUND((B500/31.1034768)*D500, 2)</f>
        <v/>
      </c>
      <c r="F500" s="16">
        <f>ROUND((C500/31.1034768)*D500, 2)</f>
        <v/>
      </c>
      <c r="G500" s="17">
        <f>IFERROR((E500-E499)/E499, 0)</f>
        <v/>
      </c>
      <c r="H500" s="17">
        <f>IFERROR((F500-F499)/F499, 0)</f>
        <v/>
      </c>
    </row>
    <row r="501" ht="20" customHeight="1">
      <c r="A501" s="18" t="n">
        <v>46289</v>
      </c>
      <c r="B501" s="19" t="n">
        <v>4298</v>
      </c>
      <c r="C501" s="19" t="n">
        <v>63.45700073242188</v>
      </c>
      <c r="D501" s="19" t="n">
        <v>3356.679931640625</v>
      </c>
      <c r="E501" s="20">
        <f>ROUND((B501/31.1034768)*D501, 2)</f>
        <v/>
      </c>
      <c r="F501" s="20">
        <f>ROUND((C501/31.1034768)*D501, 2)</f>
        <v/>
      </c>
      <c r="G501" s="21">
        <f>IFERROR((E501-E500)/E500, 0)</f>
        <v/>
      </c>
      <c r="H501" s="21">
        <f>IFERROR((F501-F500)/F500, 0)</f>
        <v/>
      </c>
    </row>
    <row r="502" ht="20" customHeight="1">
      <c r="A502" s="14" t="n">
        <v>46290</v>
      </c>
      <c r="B502" s="15" t="n">
        <v>4321.2001953125</v>
      </c>
      <c r="C502" s="15" t="n">
        <v>64.24500274658203</v>
      </c>
      <c r="D502" s="15" t="n">
        <v>3356.679931640625</v>
      </c>
      <c r="E502" s="16">
        <f>ROUND((B502/31.1034768)*D502, 2)</f>
        <v/>
      </c>
      <c r="F502" s="16">
        <f>ROUND((C502/31.1034768)*D502, 2)</f>
        <v/>
      </c>
      <c r="G502" s="17">
        <f>IFERROR((E502-E501)/E501, 0)</f>
        <v/>
      </c>
      <c r="H502" s="17">
        <f>IFERROR((F502-F501)/F501, 0)</f>
        <v/>
      </c>
    </row>
    <row r="503" ht="20" customHeight="1">
      <c r="A503" s="18" t="n">
        <v>46292</v>
      </c>
      <c r="B503" s="19" t="n">
        <v>4321.2001953125</v>
      </c>
      <c r="C503" s="19" t="n">
        <v>64.24500274658203</v>
      </c>
      <c r="D503" s="19" t="n">
        <v>3303</v>
      </c>
      <c r="E503" s="20">
        <f>ROUND((B503/31.1034768)*D503, 2)</f>
        <v/>
      </c>
      <c r="F503" s="20">
        <f>ROUND((C503/31.1034768)*D503, 2)</f>
        <v/>
      </c>
      <c r="G503" s="21">
        <f>IFERROR((E503-E502)/E502, 0)</f>
        <v/>
      </c>
      <c r="H503" s="21">
        <f>IFERROR((F503-F502)/F502, 0)</f>
        <v/>
      </c>
    </row>
    <row r="504" ht="20" customHeight="1">
      <c r="A504" s="14" t="n">
        <v>46293</v>
      </c>
      <c r="B504" s="15" t="n">
        <v>4168.39990234375</v>
      </c>
      <c r="C504" s="15" t="n">
        <v>61.22000122070312</v>
      </c>
      <c r="D504" s="15" t="n">
        <v>3368.669921875</v>
      </c>
      <c r="E504" s="16">
        <f>ROUND((B504/31.1034768)*D504, 2)</f>
        <v/>
      </c>
      <c r="F504" s="16">
        <f>ROUND((C504/31.1034768)*D504, 2)</f>
        <v/>
      </c>
      <c r="G504" s="17">
        <f>IFERROR((E504-E503)/E503, 0)</f>
        <v/>
      </c>
      <c r="H504" s="17">
        <f>IFERROR((F504-F503)/F503, 0)</f>
        <v/>
      </c>
    </row>
    <row r="505" ht="20" customHeight="1">
      <c r="A505" s="18" t="n">
        <v>46294</v>
      </c>
      <c r="B505" s="19" t="n">
        <v>4179.7001953125</v>
      </c>
      <c r="C505" s="19" t="n">
        <v>60.66799926757812</v>
      </c>
      <c r="D505" s="19" t="n">
        <v>3333.419921875</v>
      </c>
      <c r="E505" s="20">
        <f>ROUND((B505/31.1034768)*D505, 2)</f>
        <v/>
      </c>
      <c r="F505" s="20">
        <f>ROUND((C505/31.1034768)*D505, 2)</f>
        <v/>
      </c>
      <c r="G505" s="21">
        <f>IFERROR((E505-E504)/E504, 0)</f>
        <v/>
      </c>
      <c r="H505" s="21">
        <f>IFERROR((F505-F504)/F504, 0)</f>
        <v/>
      </c>
    </row>
    <row r="506" ht="20" customHeight="1">
      <c r="A506" s="14" t="n">
        <v>46295</v>
      </c>
      <c r="B506" s="15" t="n">
        <v>4186.7001953125</v>
      </c>
      <c r="C506" s="15" t="n">
        <v>60.09799957275391</v>
      </c>
      <c r="D506" s="15" t="n">
        <v>3313.0400390625</v>
      </c>
      <c r="E506" s="16">
        <f>ROUND((B506/31.1034768)*D506, 2)</f>
        <v/>
      </c>
      <c r="F506" s="16">
        <f>ROUND((C506/31.1034768)*D506, 2)</f>
        <v/>
      </c>
      <c r="G506" s="17">
        <f>IFERROR((E506-E505)/E505, 0)</f>
        <v/>
      </c>
      <c r="H506" s="17">
        <f>IFERROR((F506-F505)/F505, 0)</f>
        <v/>
      </c>
    </row>
    <row r="507" ht="20" customHeight="1">
      <c r="A507" s="18" t="n">
        <v>46296</v>
      </c>
      <c r="B507" s="19" t="n">
        <v>4202.2998046875</v>
      </c>
      <c r="C507" s="19" t="n">
        <v>60.72499847412109</v>
      </c>
      <c r="D507" s="19" t="n">
        <v>3318.530029296875</v>
      </c>
      <c r="E507" s="20">
        <f>ROUND((B507/31.1034768)*D507, 2)</f>
        <v/>
      </c>
      <c r="F507" s="20">
        <f>ROUND((C507/31.1034768)*D507, 2)</f>
        <v/>
      </c>
      <c r="G507" s="21">
        <f>IFERROR((E507-E506)/E506, 0)</f>
        <v/>
      </c>
      <c r="H507" s="21">
        <f>IFERROR((F507-F506)/F506, 0)</f>
        <v/>
      </c>
    </row>
    <row r="508" ht="20" customHeight="1">
      <c r="A508" s="14" t="n">
        <v>46297</v>
      </c>
      <c r="B508" s="15" t="n">
        <v>4162.2998046875</v>
      </c>
      <c r="C508" s="15" t="n">
        <v>59.97700119018555</v>
      </c>
      <c r="D508" s="15" t="n">
        <v>3318.530029296875</v>
      </c>
      <c r="E508" s="16">
        <f>ROUND((B508/31.1034768)*D508, 2)</f>
        <v/>
      </c>
      <c r="F508" s="16">
        <f>ROUND((C508/31.1034768)*D508, 2)</f>
        <v/>
      </c>
      <c r="G508" s="17">
        <f>IFERROR((E508-E507)/E507, 0)</f>
        <v/>
      </c>
      <c r="H508" s="17">
        <f>IFERROR((F508-F507)/F507, 0)</f>
        <v/>
      </c>
    </row>
    <row r="509" ht="20" customHeight="1">
      <c r="A509" s="18" t="n">
        <v>46299</v>
      </c>
      <c r="B509" s="19" t="n">
        <v>4162.2998046875</v>
      </c>
      <c r="C509" s="19" t="n">
        <v>59.97700119018555</v>
      </c>
      <c r="D509" s="19" t="n">
        <v>3193.697509765625</v>
      </c>
      <c r="E509" s="20">
        <f>ROUND((B509/31.1034768)*D509, 2)</f>
        <v/>
      </c>
      <c r="F509" s="20">
        <f>ROUND((C509/31.1034768)*D509, 2)</f>
        <v/>
      </c>
      <c r="G509" s="21">
        <f>IFERROR((E509-E508)/E508, 0)</f>
        <v/>
      </c>
      <c r="H509" s="21">
        <f>IFERROR((F509-F508)/F508, 0)</f>
        <v/>
      </c>
    </row>
    <row r="510" ht="20" customHeight="1">
      <c r="A510" s="14" t="n">
        <v>46300</v>
      </c>
      <c r="B510" s="15" t="n">
        <v>4156.7998046875</v>
      </c>
      <c r="C510" s="15" t="n">
        <v>60.86899948120117</v>
      </c>
      <c r="D510" s="15" t="n">
        <v>3207.85009765625</v>
      </c>
      <c r="E510" s="16">
        <f>ROUND((B510/31.1034768)*D510, 2)</f>
        <v/>
      </c>
      <c r="F510" s="16">
        <f>ROUND((C510/31.1034768)*D510, 2)</f>
        <v/>
      </c>
      <c r="G510" s="17">
        <f>IFERROR((E510-E509)/E509, 0)</f>
        <v/>
      </c>
      <c r="H510" s="17">
        <f>IFERROR((F510-F509)/F509, 0)</f>
        <v/>
      </c>
    </row>
    <row r="511" ht="20" customHeight="1">
      <c r="A511" s="18" t="n">
        <v>46301</v>
      </c>
      <c r="B511" s="19" t="n">
        <v>4187.10009765625</v>
      </c>
      <c r="C511" s="19" t="n">
        <v>61.16799926757812</v>
      </c>
      <c r="D511" s="19" t="n">
        <v>3238.97998046875</v>
      </c>
      <c r="E511" s="20">
        <f>ROUND((B511/31.1034768)*D511, 2)</f>
        <v/>
      </c>
      <c r="F511" s="20">
        <f>ROUND((C511/31.1034768)*D511, 2)</f>
        <v/>
      </c>
      <c r="G511" s="21">
        <f>IFERROR((E511-E510)/E510, 0)</f>
        <v/>
      </c>
      <c r="H511" s="21">
        <f>IFERROR((F511-F510)/F510, 0)</f>
        <v/>
      </c>
    </row>
    <row r="512" ht="20" customHeight="1">
      <c r="A512" s="14" t="n">
        <v>46302</v>
      </c>
      <c r="B512" s="15" t="n">
        <v>4140.7001953125</v>
      </c>
      <c r="C512" s="15" t="n">
        <v>59.89899826049805</v>
      </c>
      <c r="D512" s="15" t="n">
        <v>3246.739990234375</v>
      </c>
      <c r="E512" s="16">
        <f>ROUND((B512/31.1034768)*D512, 2)</f>
        <v/>
      </c>
      <c r="F512" s="16">
        <f>ROUND((C512/31.1034768)*D512, 2)</f>
        <v/>
      </c>
      <c r="G512" s="17">
        <f>IFERROR((E512-E511)/E511, 0)</f>
        <v/>
      </c>
      <c r="H512" s="17">
        <f>IFERROR((F512-F511)/F511, 0)</f>
        <v/>
      </c>
    </row>
    <row r="513" ht="20" customHeight="1">
      <c r="A513" s="18" t="n">
        <v>46303</v>
      </c>
      <c r="B513" s="19" t="n">
        <v>4157</v>
      </c>
      <c r="C513" s="19" t="n">
        <v>59.06399917602539</v>
      </c>
      <c r="D513" s="19" t="n">
        <v>3224.139892578125</v>
      </c>
      <c r="E513" s="20">
        <f>ROUND((B513/31.1034768)*D513, 2)</f>
        <v/>
      </c>
      <c r="F513" s="20">
        <f>ROUND((C513/31.1034768)*D513, 2)</f>
        <v/>
      </c>
      <c r="G513" s="21">
        <f>IFERROR((E513-E512)/E512, 0)</f>
        <v/>
      </c>
      <c r="H513" s="21">
        <f>IFERROR((F513-F512)/F512, 0)</f>
        <v/>
      </c>
    </row>
    <row r="514" ht="20" customHeight="1">
      <c r="A514" s="14" t="n">
        <v>46304</v>
      </c>
      <c r="B514" s="15" t="n">
        <v>4216.2998046875</v>
      </c>
      <c r="C514" s="15" t="n">
        <v>60.66999816894531</v>
      </c>
      <c r="D514" s="15" t="n">
        <v>3224.139892578125</v>
      </c>
      <c r="E514" s="16">
        <f>ROUND((B514/31.1034768)*D514, 2)</f>
        <v/>
      </c>
      <c r="F514" s="16">
        <f>ROUND((C514/31.1034768)*D514, 2)</f>
        <v/>
      </c>
      <c r="G514" s="17">
        <f>IFERROR((E514-E513)/E513, 0)</f>
        <v/>
      </c>
      <c r="H514" s="17">
        <f>IFERROR((F514-F513)/F513, 0)</f>
        <v/>
      </c>
    </row>
    <row r="515" ht="20" customHeight="1">
      <c r="A515" s="18" t="n">
        <v>46306</v>
      </c>
      <c r="B515" s="19" t="n">
        <v>4216.2998046875</v>
      </c>
      <c r="C515" s="19" t="n">
        <v>60.66999816894531</v>
      </c>
      <c r="D515" s="19" t="n">
        <v>3202.75</v>
      </c>
      <c r="E515" s="20">
        <f>ROUND((B515/31.1034768)*D515, 2)</f>
        <v/>
      </c>
      <c r="F515" s="20">
        <f>ROUND((C515/31.1034768)*D515, 2)</f>
        <v/>
      </c>
      <c r="G515" s="21">
        <f>IFERROR((E515-E514)/E514, 0)</f>
        <v/>
      </c>
      <c r="H515" s="21">
        <f>IFERROR((F515-F514)/F514, 0)</f>
        <v/>
      </c>
    </row>
    <row r="516" ht="20" customHeight="1">
      <c r="A516" s="14" t="n">
        <v>46307</v>
      </c>
      <c r="B516" s="15" t="n">
        <v>4190.60009765625</v>
      </c>
      <c r="C516" s="15" t="n">
        <v>60.14099884033203</v>
      </c>
      <c r="D516" s="15" t="n">
        <v>3194.6298828125</v>
      </c>
      <c r="E516" s="16">
        <f>ROUND((B516/31.1034768)*D516, 2)</f>
        <v/>
      </c>
      <c r="F516" s="16">
        <f>ROUND((C516/31.1034768)*D516, 2)</f>
        <v/>
      </c>
      <c r="G516" s="17">
        <f>IFERROR((E516-E515)/E515, 0)</f>
        <v/>
      </c>
      <c r="H516" s="17">
        <f>IFERROR((F516-F515)/F515, 0)</f>
        <v/>
      </c>
    </row>
    <row r="517" ht="20" customHeight="1">
      <c r="A517" s="18" t="n">
        <v>46308</v>
      </c>
      <c r="B517" s="19" t="n">
        <v>4177.2998046875</v>
      </c>
      <c r="C517" s="19" t="n">
        <v>59.1609992980957</v>
      </c>
      <c r="D517" s="19" t="n">
        <v>3188.669921875</v>
      </c>
      <c r="E517" s="20">
        <f>ROUND((B517/31.1034768)*D517, 2)</f>
        <v/>
      </c>
      <c r="F517" s="20">
        <f>ROUND((C517/31.1034768)*D517, 2)</f>
        <v/>
      </c>
      <c r="G517" s="21">
        <f>IFERROR((E517-E516)/E516, 0)</f>
        <v/>
      </c>
      <c r="H517" s="21">
        <f>IFERROR((F517-F516)/F516, 0)</f>
        <v/>
      </c>
    </row>
    <row r="518" ht="20" customHeight="1">
      <c r="A518" s="14" t="n">
        <v>46309</v>
      </c>
      <c r="B518" s="15" t="n">
        <v>4107.89990234375</v>
      </c>
      <c r="C518" s="15" t="n">
        <v>55.54999923706055</v>
      </c>
      <c r="D518" s="15" t="n">
        <v>3195.179931640625</v>
      </c>
      <c r="E518" s="16">
        <f>ROUND((B518/31.1034768)*D518, 2)</f>
        <v/>
      </c>
      <c r="F518" s="16">
        <f>ROUND((C518/31.1034768)*D518, 2)</f>
        <v/>
      </c>
      <c r="G518" s="17">
        <f>IFERROR((E518-E517)/E517, 0)</f>
        <v/>
      </c>
      <c r="H518" s="17">
        <f>IFERROR((F518-F517)/F517, 0)</f>
        <v/>
      </c>
    </row>
    <row r="519" ht="20" customHeight="1">
      <c r="A519" s="18" t="n">
        <v>46310</v>
      </c>
      <c r="B519" s="19" t="n">
        <v>4170.10009765625</v>
      </c>
      <c r="C519" s="19" t="n">
        <v>56.83700180053711</v>
      </c>
      <c r="D519" s="19" t="n">
        <v>3175.590087890625</v>
      </c>
      <c r="E519" s="20">
        <f>ROUND((B519/31.1034768)*D519, 2)</f>
        <v/>
      </c>
      <c r="F519" s="20">
        <f>ROUND((C519/31.1034768)*D519, 2)</f>
        <v/>
      </c>
      <c r="G519" s="21">
        <f>IFERROR((E519-E518)/E518, 0)</f>
        <v/>
      </c>
      <c r="H519" s="21">
        <f>IFERROR((F519-F518)/F518, 0)</f>
        <v/>
      </c>
    </row>
    <row r="520" ht="20" customHeight="1">
      <c r="A520" s="14" t="n">
        <v>46311</v>
      </c>
      <c r="B520" s="15" t="n">
        <v>4181.10009765625</v>
      </c>
      <c r="C520" s="15" t="n">
        <v>56.99499893188477</v>
      </c>
      <c r="D520" s="15" t="n">
        <v>3175.590087890625</v>
      </c>
      <c r="E520" s="16">
        <f>ROUND((B520/31.1034768)*D520, 2)</f>
        <v/>
      </c>
      <c r="F520" s="16">
        <f>ROUND((C520/31.1034768)*D520, 2)</f>
        <v/>
      </c>
      <c r="G520" s="17">
        <f>IFERROR((E520-E519)/E519, 0)</f>
        <v/>
      </c>
      <c r="H520" s="17">
        <f>IFERROR((F520-F519)/F519, 0)</f>
        <v/>
      </c>
    </row>
    <row r="521" ht="20" customHeight="1">
      <c r="A521" s="18" t="n">
        <v>46313</v>
      </c>
      <c r="B521" s="19" t="n">
        <v>4181.10009765625</v>
      </c>
      <c r="C521" s="19" t="n">
        <v>56.99499893188477</v>
      </c>
      <c r="D521" s="19" t="n">
        <v>3174.6201171875</v>
      </c>
      <c r="E521" s="20">
        <f>ROUND((B521/31.1034768)*D521, 2)</f>
        <v/>
      </c>
      <c r="F521" s="20">
        <f>ROUND((C521/31.1034768)*D521, 2)</f>
        <v/>
      </c>
      <c r="G521" s="21">
        <f>IFERROR((E521-E520)/E520, 0)</f>
        <v/>
      </c>
      <c r="H521" s="21">
        <f>IFERROR((F521-F520)/F520, 0)</f>
        <v/>
      </c>
    </row>
    <row r="522" ht="20" customHeight="1">
      <c r="A522" s="14" t="n">
        <v>46314</v>
      </c>
      <c r="B522" s="15" t="n">
        <v>4160.10009765625</v>
      </c>
      <c r="C522" s="15" t="n">
        <v>56.9739990234375</v>
      </c>
      <c r="D522" s="15" t="n">
        <v>3158.820068359375</v>
      </c>
      <c r="E522" s="16">
        <f>ROUND((B522/31.1034768)*D522, 2)</f>
        <v/>
      </c>
      <c r="F522" s="16">
        <f>ROUND((C522/31.1034768)*D522, 2)</f>
        <v/>
      </c>
      <c r="G522" s="17">
        <f>IFERROR((E522-E521)/E521, 0)</f>
        <v/>
      </c>
      <c r="H522" s="17">
        <f>IFERROR((F522-F521)/F521, 0)</f>
        <v/>
      </c>
    </row>
    <row r="523" ht="20" customHeight="1">
      <c r="A523" s="18" t="n">
        <v>46315</v>
      </c>
      <c r="B523" s="19" t="n">
        <v>4142.60009765625</v>
      </c>
      <c r="C523" s="19" t="n">
        <v>57.70600128173828</v>
      </c>
      <c r="D523" s="19" t="n">
        <v>3180.3798828125</v>
      </c>
      <c r="E523" s="20">
        <f>ROUND((B523/31.1034768)*D523, 2)</f>
        <v/>
      </c>
      <c r="F523" s="20">
        <f>ROUND((C523/31.1034768)*D523, 2)</f>
        <v/>
      </c>
      <c r="G523" s="21">
        <f>IFERROR((E523-E522)/E522, 0)</f>
        <v/>
      </c>
      <c r="H523" s="21">
        <f>IFERROR((F523-F522)/F522, 0)</f>
        <v/>
      </c>
    </row>
    <row r="524" ht="20" customHeight="1">
      <c r="A524" s="14" t="n">
        <v>46316</v>
      </c>
      <c r="B524" s="15" t="n">
        <v>4150</v>
      </c>
      <c r="C524" s="15" t="n">
        <v>57.42200088500977</v>
      </c>
      <c r="D524" s="15" t="n">
        <v>3196.7900390625</v>
      </c>
      <c r="E524" s="16">
        <f>ROUND((B524/31.1034768)*D524, 2)</f>
        <v/>
      </c>
      <c r="F524" s="16">
        <f>ROUND((C524/31.1034768)*D524, 2)</f>
        <v/>
      </c>
      <c r="G524" s="17">
        <f>IFERROR((E524-E523)/E523, 0)</f>
        <v/>
      </c>
      <c r="H524" s="17">
        <f>IFERROR((F524-F523)/F523, 0)</f>
        <v/>
      </c>
    </row>
    <row r="525" ht="20" customHeight="1">
      <c r="A525" s="18" t="n">
        <v>46317</v>
      </c>
      <c r="B525" s="19" t="n">
        <v>4060.39990234375</v>
      </c>
      <c r="C525" s="19" t="n">
        <v>54.76399993896484</v>
      </c>
      <c r="D525" s="19" t="n">
        <v>3186.77001953125</v>
      </c>
      <c r="E525" s="20">
        <f>ROUND((B525/31.1034768)*D525, 2)</f>
        <v/>
      </c>
      <c r="F525" s="20">
        <f>ROUND((C525/31.1034768)*D525, 2)</f>
        <v/>
      </c>
      <c r="G525" s="21">
        <f>IFERROR((E525-E524)/E524, 0)</f>
        <v/>
      </c>
      <c r="H525" s="21">
        <f>IFERROR((F525-F524)/F524, 0)</f>
        <v/>
      </c>
    </row>
    <row r="526" ht="20" customHeight="1">
      <c r="A526" s="14" t="n">
        <v>46318</v>
      </c>
      <c r="B526" s="15" t="n">
        <v>4007.89990234375</v>
      </c>
      <c r="C526" s="15" t="n">
        <v>53.71099853515625</v>
      </c>
      <c r="D526" s="15" t="n">
        <v>3186.77001953125</v>
      </c>
      <c r="E526" s="16">
        <f>ROUND((B526/31.1034768)*D526, 2)</f>
        <v/>
      </c>
      <c r="F526" s="16">
        <f>ROUND((C526/31.1034768)*D526, 2)</f>
        <v/>
      </c>
      <c r="G526" s="17">
        <f>IFERROR((E526-E525)/E525, 0)</f>
        <v/>
      </c>
      <c r="H526" s="17">
        <f>IFERROR((F526-F525)/F525, 0)</f>
        <v/>
      </c>
    </row>
    <row r="527" ht="20" customHeight="1">
      <c r="A527" s="18" t="n">
        <v>46321</v>
      </c>
      <c r="B527" s="19" t="n">
        <v>4038.39990234375</v>
      </c>
      <c r="C527" s="19" t="n">
        <v>54.10800170898438</v>
      </c>
      <c r="D527" s="19" t="n">
        <v>3055.65234375</v>
      </c>
      <c r="E527" s="20">
        <f>ROUND((B527/31.1034768)*D527, 2)</f>
        <v/>
      </c>
      <c r="F527" s="20">
        <f>ROUND((C527/31.1034768)*D527, 2)</f>
        <v/>
      </c>
      <c r="G527" s="21">
        <f>IFERROR((E527-E526)/E526, 0)</f>
        <v/>
      </c>
      <c r="H527" s="21">
        <f>IFERROR((F527-F526)/F526, 0)</f>
        <v/>
      </c>
    </row>
    <row r="528" ht="20" customHeight="1">
      <c r="A528" s="14" t="n">
        <v>46322</v>
      </c>
      <c r="B528" s="15" t="n">
        <v>4074.60009765625</v>
      </c>
      <c r="C528" s="15" t="n">
        <v>54.29299926757812</v>
      </c>
      <c r="D528" s="15" t="n">
        <v>3149.10009765625</v>
      </c>
      <c r="E528" s="16">
        <f>ROUND((B528/31.1034768)*D528, 2)</f>
        <v/>
      </c>
      <c r="F528" s="16">
        <f>ROUND((C528/31.1034768)*D528, 2)</f>
        <v/>
      </c>
      <c r="G528" s="17">
        <f>IFERROR((E528-E527)/E527, 0)</f>
        <v/>
      </c>
      <c r="H528" s="17">
        <f>IFERROR((F528-F527)/F527, 0)</f>
        <v/>
      </c>
    </row>
    <row r="529" ht="20" customHeight="1">
      <c r="A529" s="18" t="n">
        <v>46323</v>
      </c>
      <c r="B529" s="19" t="n">
        <v>4051.60009765625</v>
      </c>
      <c r="C529" s="19" t="n">
        <v>53.45700073242188</v>
      </c>
      <c r="D529" s="19" t="n">
        <v>3149.6298828125</v>
      </c>
      <c r="E529" s="20">
        <f>ROUND((B529/31.1034768)*D529, 2)</f>
        <v/>
      </c>
      <c r="F529" s="20">
        <f>ROUND((C529/31.1034768)*D529, 2)</f>
        <v/>
      </c>
      <c r="G529" s="21">
        <f>IFERROR((E529-E528)/E528, 0)</f>
        <v/>
      </c>
      <c r="H529" s="21">
        <f>IFERROR((F529-F528)/F528, 0)</f>
        <v/>
      </c>
    </row>
    <row r="530" ht="20" customHeight="1">
      <c r="A530" s="14" t="n">
        <v>46324</v>
      </c>
      <c r="B530" s="15" t="n">
        <v>4031.39990234375</v>
      </c>
      <c r="C530" s="15" t="n">
        <v>52.19100189208984</v>
      </c>
      <c r="D530" s="15" t="n">
        <v>3166.64990234375</v>
      </c>
      <c r="E530" s="16">
        <f>ROUND((B530/31.1034768)*D530, 2)</f>
        <v/>
      </c>
      <c r="F530" s="16">
        <f>ROUND((C530/31.1034768)*D530, 2)</f>
        <v/>
      </c>
      <c r="G530" s="17">
        <f>IFERROR((E530-E529)/E529, 0)</f>
        <v/>
      </c>
      <c r="H530" s="17">
        <f>IFERROR((F530-F529)/F529, 0)</f>
        <v/>
      </c>
    </row>
    <row r="531" ht="20" customHeight="1">
      <c r="A531" s="18" t="n">
        <v>46325</v>
      </c>
      <c r="B531" s="19" t="n">
        <v>4017.60009765625</v>
      </c>
      <c r="C531" s="19" t="n">
        <v>51.53499984741211</v>
      </c>
      <c r="D531" s="19" t="n">
        <v>3166.989990234375</v>
      </c>
      <c r="E531" s="20">
        <f>ROUND((B531/31.1034768)*D531, 2)</f>
        <v/>
      </c>
      <c r="F531" s="20">
        <f>ROUND((C531/31.1034768)*D531, 2)</f>
        <v/>
      </c>
      <c r="G531" s="21">
        <f>IFERROR((E531-E530)/E530, 0)</f>
        <v/>
      </c>
      <c r="H531" s="21">
        <f>IFERROR((F531-F530)/F530, 0)</f>
        <v/>
      </c>
    </row>
  </sheetData>
  <autoFilter ref="A1:H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2026-10-30T02:15:43Z</dcterms:created>
  <dcterms:modified xsi:type="dcterms:W3CDTF">2026-10-30T02:15:43Z</dcterms:modified>
</cp:coreProperties>
</file>